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1"/>
  </bookViews>
  <sheets>
    <sheet name="Data" sheetId="1" state="hidden" r:id="rId3"/>
    <sheet name="Rappor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<sst xmlns="http://schemas.openxmlformats.org/spreadsheetml/2006/main" count="36" uniqueCount="29">
  <si>
    <t xml:space="preserve">date</t>
  </si>
  <si>
    <t xml:space="preserve">childAsin</t>
  </si>
  <si>
    <t xml:space="preserve">unitsOrdered</t>
  </si>
  <si>
    <t xml:space="preserve">orderedProductSales</t>
  </si>
  <si>
    <t xml:space="preserve">unitSessionPercentage</t>
  </si>
  <si>
    <t xml:space="preserve">B00CO00Y32</t>
  </si>
  <si>
    <t xml:space="preserve">Datum (Column A)</t>
  </si>
  <si>
    <t xml:space="preserve">ASin</t>
  </si>
  <si>
    <t xml:space="preserve">C40</t>
  </si>
  <si>
    <t xml:space="preserve">Sales #</t>
  </si>
  <si>
    <t xml:space="preserve">Column D</t>
  </si>
  <si>
    <t xml:space="preserve">Sales £</t>
  </si>
  <si>
    <t xml:space="preserve">Column F</t>
  </si>
  <si>
    <t xml:space="preserve">Avg. RSP (gross)</t>
  </si>
  <si>
    <t xml:space="preserve">Avg. RSP (net)</t>
  </si>
  <si>
    <t xml:space="preserve">Commission + AdFee</t>
  </si>
  <si>
    <t xml:space="preserve">FBA</t>
  </si>
  <si>
    <t xml:space="preserve">COGS</t>
  </si>
  <si>
    <t xml:space="preserve">Margin (%)</t>
  </si>
  <si>
    <t xml:space="preserve">Margin (abs)</t>
  </si>
  <si>
    <t xml:space="preserve">Margin Tot. (abs)</t>
  </si>
  <si>
    <t xml:space="preserve">Margin Net. (abs)</t>
  </si>
  <si>
    <t xml:space="preserve">CVR</t>
  </si>
  <si>
    <t xml:space="preserve">Column AF</t>
  </si>
  <si>
    <t xml:space="preserve">Aannames</t>
  </si>
  <si>
    <t xml:space="preserve">BTW</t>
  </si>
  <si>
    <t xml:space="preserve">Commission + AdFee %</t>
  </si>
  <si>
    <t xml:space="preserve">FBA (£/stuk)</t>
  </si>
  <si>
    <t xml:space="preserve">COGS (£/stuk)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</si>
</sst>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#,##0"/>
    <numFmt numFmtId="167" formatCode="\£#,##0.00"/>
    <numFmt numFmtId="168" formatCode="0.0%"/>
    <numFmt numFmtId="169" formatCode="0.0\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sz val="11"/>
      <color rgb="FF808080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46145</v>
      </c>
      <c r="B2" s="3" t="s">
        <v>5</v>
      </c>
      <c r="C2" s="0" t="n">
        <v>77</v>
      </c>
      <c r="D2" s="0" t="n">
        <v>1226.83</v>
      </c>
      <c r="E2" s="0" t="n">
        <v>88.51</v>
      </c>
    </row>
    <row r="3" customFormat="false" ht="15" hidden="false" customHeight="false" outlineLevel="0" collapsed="false">
      <c r="A3" s="2" t="n">
        <v>46146</v>
      </c>
      <c r="B3" s="3" t="s">
        <v>5</v>
      </c>
      <c r="C3" s="0" t="n">
        <v>78</v>
      </c>
      <c r="D3" s="0" t="n">
        <v>1237.84</v>
      </c>
      <c r="E3" s="0" t="n">
        <v>0</v>
      </c>
    </row>
    <row r="4" customFormat="false" ht="15" hidden="false" customHeight="false" outlineLevel="0" collapsed="false">
      <c r="A4" s="2" t="n">
        <v>46147</v>
      </c>
      <c r="B4" s="3" t="s">
        <v>5</v>
      </c>
      <c r="C4" s="0" t="n">
        <v>100</v>
      </c>
      <c r="D4" s="0" t="n">
        <v>1575.67</v>
      </c>
      <c r="E4" s="0" t="n">
        <v>107.53</v>
      </c>
    </row>
    <row r="5" customFormat="false" ht="15" hidden="false" customHeight="false" outlineLevel="0" collapsed="false">
      <c r="A5" s="2" t="n">
        <v>46148</v>
      </c>
      <c r="B5" s="3" t="s">
        <v>5</v>
      </c>
      <c r="C5" s="0" t="n">
        <v>53</v>
      </c>
      <c r="D5" s="0" t="n">
        <v>1058.27</v>
      </c>
      <c r="E5" s="0" t="n">
        <v>0</v>
      </c>
    </row>
    <row r="6" customFormat="false" ht="15" hidden="false" customHeight="false" outlineLevel="0" collapsed="false">
      <c r="A6" s="2" t="n">
        <v>46149</v>
      </c>
      <c r="B6" s="3" t="s">
        <v>5</v>
      </c>
      <c r="C6" s="0" t="n">
        <v>65</v>
      </c>
      <c r="D6" s="0" t="n">
        <v>1298.14</v>
      </c>
      <c r="E6" s="0" t="n">
        <v>0</v>
      </c>
    </row>
    <row r="7" customFormat="false" ht="15" hidden="false" customHeight="false" outlineLevel="0" collapsed="false">
      <c r="A7" s="2" t="n">
        <v>46150</v>
      </c>
      <c r="B7" s="3" t="s">
        <v>5</v>
      </c>
      <c r="C7" s="0" t="n">
        <v>47</v>
      </c>
      <c r="D7" s="0" t="n">
        <v>937.04</v>
      </c>
      <c r="E7" s="0" t="n">
        <v>92.16</v>
      </c>
    </row>
    <row r="8" customFormat="false" ht="15" hidden="false" customHeight="false" outlineLevel="0" collapsed="false">
      <c r="A8" s="2" t="n">
        <v>46151</v>
      </c>
      <c r="B8" s="3" t="s">
        <v>5</v>
      </c>
      <c r="C8" s="0" t="n">
        <v>37</v>
      </c>
      <c r="D8" s="0" t="n">
        <v>739.62</v>
      </c>
      <c r="E8" s="0" t="n">
        <v>67.27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10" min="4" style="0" width="12"/>
  </cols>
  <sheetData>
    <row r="1" customFormat="false" ht="15" hidden="false" customHeight="false" outlineLevel="0" collapsed="false">
      <c r="C1" s="4" t="s">
        <v>6</v>
      </c>
      <c r="D1" s="5" t="n">
        <v>46145</v>
      </c>
      <c r="E1" s="5" t="n">
        <v>46146</v>
      </c>
      <c r="F1" s="5" t="n">
        <v>46147</v>
      </c>
      <c r="G1" s="5" t="n">
        <v>46148</v>
      </c>
      <c r="H1" s="5" t="n">
        <v>46149</v>
      </c>
      <c r="I1" s="5" t="n">
        <v>46150</v>
      </c>
      <c r="J1" s="5" t="n">
        <v>46151</v>
      </c>
    </row>
    <row r="2" customFormat="false" ht="15" hidden="false" customHeight="false" outlineLevel="0" collapsed="false">
      <c r="A2" s="1" t="s">
        <v>7</v>
      </c>
      <c r="B2" s="1" t="s">
        <v>5</v>
      </c>
    </row>
    <row r="3" customFormat="false" ht="15" hidden="false" customHeight="false" outlineLevel="0" collapsed="false">
      <c r="A3" s="6" t="s">
        <v>8</v>
      </c>
      <c r="B3" s="1" t="s">
        <v>9</v>
      </c>
      <c r="C3" s="4" t="s">
        <v>10</v>
      </c>
      <c r="D3" s="7" t="n">
        <f aca="false">SUMIFS(Data!$C:$C,Data!$A:$A,D$1,Data!$B:$B,$B$2)</f>
        <v>77</v>
      </c>
      <c r="E3" s="7" t="n">
        <f aca="false">SUMIFS(Data!$C:$C,Data!$A:$A,E$1,Data!$B:$B,$B$2)</f>
        <v>78</v>
      </c>
      <c r="F3" s="7" t="n">
        <f aca="false">SUMIFS(Data!$C:$C,Data!$A:$A,F$1,Data!$B:$B,$B$2)</f>
        <v>100</v>
      </c>
      <c r="G3" s="7" t="n">
        <f aca="false">SUMIFS(Data!$C:$C,Data!$A:$A,G$1,Data!$B:$B,$B$2)</f>
        <v>53</v>
      </c>
      <c r="H3" s="7" t="n">
        <f aca="false">SUMIFS(Data!$C:$C,Data!$A:$A,H$1,Data!$B:$B,$B$2)</f>
        <v>65</v>
      </c>
      <c r="I3" s="7" t="n">
        <f aca="false">SUMIFS(Data!$C:$C,Data!$A:$A,I$1,Data!$B:$B,$B$2)</f>
        <v>47</v>
      </c>
      <c r="J3" s="7" t="n">
        <f aca="false">SUMIFS(Data!$C:$C,Data!$A:$A,J$1,Data!$B:$B,$B$2)</f>
        <v>37</v>
      </c>
    </row>
    <row r="4" customFormat="false" ht="15" hidden="false" customHeight="false" outlineLevel="0" collapsed="false">
      <c r="B4" s="1" t="s">
        <v>11</v>
      </c>
      <c r="C4" s="4" t="s">
        <v>12</v>
      </c>
      <c r="D4" s="8" t="n">
        <f aca="false">SUMIFS(Data!$D:$D,Data!$A:$A,D$1,Data!$B:$B,$B$2)</f>
        <v>1226.83</v>
      </c>
      <c r="E4" s="8" t="n">
        <f aca="false">SUMIFS(Data!$D:$D,Data!$A:$A,E$1,Data!$B:$B,$B$2)</f>
        <v>1237.84</v>
      </c>
      <c r="F4" s="8" t="n">
        <f aca="false">SUMIFS(Data!$D:$D,Data!$A:$A,F$1,Data!$B:$B,$B$2)</f>
        <v>1575.67</v>
      </c>
      <c r="G4" s="8" t="n">
        <f aca="false">SUMIFS(Data!$D:$D,Data!$A:$A,G$1,Data!$B:$B,$B$2)</f>
        <v>1058.27</v>
      </c>
      <c r="H4" s="8" t="n">
        <f aca="false">SUMIFS(Data!$D:$D,Data!$A:$A,H$1,Data!$B:$B,$B$2)</f>
        <v>1298.14</v>
      </c>
      <c r="I4" s="8" t="n">
        <f aca="false">SUMIFS(Data!$D:$D,Data!$A:$A,I$1,Data!$B:$B,$B$2)</f>
        <v>937.04</v>
      </c>
      <c r="J4" s="8" t="n">
        <f aca="false">SUMIFS(Data!$D:$D,Data!$A:$A,J$1,Data!$B:$B,$B$2)</f>
        <v>739.62</v>
      </c>
    </row>
    <row r="5" customFormat="false" ht="15" hidden="false" customHeight="false" outlineLevel="0" collapsed="false">
      <c r="B5" s="9" t="s">
        <v>13</v>
      </c>
      <c r="C5" s="4"/>
      <c r="D5" s="8" t="n">
        <f aca="false">IF(D3=0,0,D4/D3)</f>
        <v>15.9328571428571</v>
      </c>
      <c r="E5" s="8" t="n">
        <f aca="false">IF(E3=0,0,E4/E3)</f>
        <v>15.8697435897436</v>
      </c>
      <c r="F5" s="8" t="n">
        <f aca="false">IF(F3=0,0,F4/F3)</f>
        <v>15.7567</v>
      </c>
      <c r="G5" s="8" t="n">
        <f aca="false">IF(G3=0,0,G4/G3)</f>
        <v>19.967358490566</v>
      </c>
      <c r="H5" s="8" t="n">
        <f aca="false">IF(H3=0,0,H4/H3)</f>
        <v>19.9713846153846</v>
      </c>
      <c r="I5" s="8" t="n">
        <f aca="false">IF(I3=0,0,I4/I3)</f>
        <v>19.9370212765957</v>
      </c>
      <c r="J5" s="8" t="n">
        <f aca="false">IF(J3=0,0,J4/J3)</f>
        <v>19.9897297297297</v>
      </c>
    </row>
    <row r="6" customFormat="false" ht="15" hidden="false" customHeight="false" outlineLevel="0" collapsed="false">
      <c r="B6" s="9" t="s">
        <v>14</v>
      </c>
      <c r="C6" s="4"/>
      <c r="D6" s="8" t="n">
        <f aca="false">D5/(1+$C$17)</f>
        <v>13.277380952381</v>
      </c>
      <c r="E6" s="8" t="n">
        <f aca="false">E5/(1+$C$17)</f>
        <v>13.2247863247863</v>
      </c>
      <c r="F6" s="8" t="n">
        <f aca="false">F5/(1+$C$17)</f>
        <v>13.1305833333333</v>
      </c>
      <c r="G6" s="8" t="n">
        <f aca="false">G5/(1+$C$17)</f>
        <v>16.639465408805</v>
      </c>
      <c r="H6" s="8" t="n">
        <f aca="false">H5/(1+$C$17)</f>
        <v>16.6428205128205</v>
      </c>
      <c r="I6" s="8" t="n">
        <f aca="false">I5/(1+$C$17)</f>
        <v>16.6141843971631</v>
      </c>
      <c r="J6" s="8" t="n">
        <f aca="false">J5/(1+$C$17)</f>
        <v>16.6581081081081</v>
      </c>
    </row>
    <row r="7" customFormat="false" ht="15" hidden="false" customHeight="false" outlineLevel="0" collapsed="false">
      <c r="B7" s="9" t="s">
        <v>15</v>
      </c>
      <c r="C7" s="4"/>
      <c r="D7" s="8" t="n">
        <f aca="false">$C$18*D5</f>
        <v>2.43772714285714</v>
      </c>
      <c r="E7" s="8" t="n">
        <f aca="false">$C$18*E5</f>
        <v>2.42807076923077</v>
      </c>
      <c r="F7" s="8" t="n">
        <f aca="false">$C$18*F5</f>
        <v>2.4107751</v>
      </c>
      <c r="G7" s="8" t="n">
        <f aca="false">$C$18*G5</f>
        <v>3.0550058490566</v>
      </c>
      <c r="H7" s="8" t="n">
        <f aca="false">$C$18*H5</f>
        <v>3.05562184615385</v>
      </c>
      <c r="I7" s="8" t="n">
        <f aca="false">$C$18*I5</f>
        <v>3.05036425531915</v>
      </c>
      <c r="J7" s="8" t="n">
        <f aca="false">$C$18*J5</f>
        <v>3.05842864864865</v>
      </c>
    </row>
    <row r="8" customFormat="false" ht="15" hidden="false" customHeight="false" outlineLevel="0" collapsed="false">
      <c r="B8" s="9" t="s">
        <v>16</v>
      </c>
      <c r="C8" s="4"/>
      <c r="D8" s="8" t="n">
        <f aca="false">$C$19</f>
        <v>2.42</v>
      </c>
      <c r="E8" s="8" t="n">
        <f aca="false">$C$19</f>
        <v>2.42</v>
      </c>
      <c r="F8" s="8" t="n">
        <f aca="false">$C$19</f>
        <v>2.42</v>
      </c>
      <c r="G8" s="8" t="n">
        <f aca="false">$C$19</f>
        <v>2.42</v>
      </c>
      <c r="H8" s="8" t="n">
        <f aca="false">$C$19</f>
        <v>2.42</v>
      </c>
      <c r="I8" s="8" t="n">
        <f aca="false">$C$19</f>
        <v>2.42</v>
      </c>
      <c r="J8" s="8" t="n">
        <f aca="false">$C$19</f>
        <v>2.42</v>
      </c>
    </row>
    <row r="9" customFormat="false" ht="15" hidden="false" customHeight="false" outlineLevel="0" collapsed="false">
      <c r="B9" s="9" t="s">
        <v>17</v>
      </c>
      <c r="C9" s="4"/>
      <c r="D9" s="8" t="n">
        <f aca="false">$C$20</f>
        <v>3.96</v>
      </c>
      <c r="E9" s="8" t="n">
        <f aca="false">$C$20</f>
        <v>3.96</v>
      </c>
      <c r="F9" s="8" t="n">
        <f aca="false">$C$20</f>
        <v>3.96</v>
      </c>
      <c r="G9" s="8" t="n">
        <f aca="false">$C$20</f>
        <v>3.96</v>
      </c>
      <c r="H9" s="8" t="n">
        <f aca="false">$C$20</f>
        <v>3.96</v>
      </c>
      <c r="I9" s="8" t="n">
        <f aca="false">$C$20</f>
        <v>3.96</v>
      </c>
      <c r="J9" s="8" t="n">
        <f aca="false">$C$20</f>
        <v>3.96</v>
      </c>
    </row>
    <row r="10" customFormat="false" ht="15" hidden="false" customHeight="false" outlineLevel="0" collapsed="false">
      <c r="B10" s="9" t="s">
        <v>18</v>
      </c>
      <c r="C10" s="4"/>
      <c r="D10" s="10" t="n">
        <f aca="false">IF(D6=0,0,D11/D6)</f>
        <v>0.335883547027706</v>
      </c>
      <c r="E10" s="10" t="n">
        <f aca="false">IF(E6=0,0,E11/E6)</f>
        <v>0.333972545724811</v>
      </c>
      <c r="F10" s="10" t="n">
        <f aca="false">IF(F6=0,0,F11/F6)</f>
        <v>0.330511457348303</v>
      </c>
      <c r="G10" s="10" t="n">
        <f aca="false">IF(G6=0,0,G11/G6)</f>
        <v>0.432974220189555</v>
      </c>
      <c r="H10" s="10" t="n">
        <f aca="false">IF(H6=0,0,H11/H6)</f>
        <v>0.433051516785555</v>
      </c>
      <c r="I10" s="10" t="n">
        <f aca="false">IF(I6=0,0,I11/I6)</f>
        <v>0.432390779475796</v>
      </c>
      <c r="J10" s="10" t="n">
        <f aca="false">IF(J6=0,0,J11/J6)</f>
        <v>0.433403326032287</v>
      </c>
    </row>
    <row r="11" customFormat="false" ht="15" hidden="false" customHeight="false" outlineLevel="0" collapsed="false">
      <c r="B11" s="9" t="s">
        <v>19</v>
      </c>
      <c r="C11" s="4"/>
      <c r="D11" s="8" t="n">
        <f aca="false">D6-D7-D8-D9</f>
        <v>4.45965380952381</v>
      </c>
      <c r="E11" s="8" t="n">
        <f aca="false">E6-E7-E8-E9</f>
        <v>4.41671555555555</v>
      </c>
      <c r="F11" s="8" t="n">
        <f aca="false">F6-F7-F8-F9</f>
        <v>4.33980823333333</v>
      </c>
      <c r="G11" s="8" t="n">
        <f aca="false">G6-G7-G8-G9</f>
        <v>7.20445955974843</v>
      </c>
      <c r="H11" s="8" t="n">
        <f aca="false">H6-H7-H8-H9</f>
        <v>7.20719866666667</v>
      </c>
      <c r="I11" s="8" t="n">
        <f aca="false">I6-I7-I8-I9</f>
        <v>7.18382014184397</v>
      </c>
      <c r="J11" s="8" t="n">
        <f aca="false">J6-J7-J8-J9</f>
        <v>7.21967945945946</v>
      </c>
    </row>
    <row r="12" customFormat="false" ht="15" hidden="false" customHeight="false" outlineLevel="0" collapsed="false">
      <c r="B12" s="9" t="s">
        <v>20</v>
      </c>
      <c r="C12" s="4"/>
      <c r="D12" s="8" t="n">
        <f aca="false">D11*D3</f>
        <v>343.393343333333</v>
      </c>
      <c r="E12" s="8" t="n">
        <f aca="false">E11*E3</f>
        <v>344.503813333333</v>
      </c>
      <c r="F12" s="8" t="n">
        <f aca="false">F11*F3</f>
        <v>433.980823333333</v>
      </c>
      <c r="G12" s="8" t="n">
        <f aca="false">G11*G3</f>
        <v>381.836356666667</v>
      </c>
      <c r="H12" s="8" t="n">
        <f aca="false">H11*H3</f>
        <v>468.467913333334</v>
      </c>
      <c r="I12" s="8" t="n">
        <f aca="false">I11*I3</f>
        <v>337.639546666667</v>
      </c>
      <c r="J12" s="8" t="n">
        <f aca="false">J11*J3</f>
        <v>267.12814</v>
      </c>
    </row>
    <row r="13" customFormat="false" ht="15" hidden="false" customHeight="false" outlineLevel="0" collapsed="false">
      <c r="B13" s="9" t="s">
        <v>21</v>
      </c>
      <c r="C13" s="4"/>
      <c r="D13" s="8"/>
      <c r="E13" s="8"/>
      <c r="F13" s="8"/>
      <c r="G13" s="8"/>
      <c r="H13" s="8"/>
      <c r="I13" s="8"/>
      <c r="J13" s="8"/>
    </row>
    <row r="14" customFormat="false" ht="15" hidden="false" customHeight="false" outlineLevel="0" collapsed="false">
      <c r="B14" s="9" t="s">
        <v>22</v>
      </c>
      <c r="C14" s="4" t="s">
        <v>23</v>
      </c>
      <c r="D14" s="11" t="n">
        <f aca="false">SUMIFS(Data!$E:$E,Data!$A:$A,D$1,Data!$B:$B,$B$2)</f>
        <v>88.51</v>
      </c>
      <c r="E14" s="11" t="n">
        <f aca="false">SUMIFS(Data!$E:$E,Data!$A:$A,E$1,Data!$B:$B,$B$2)</f>
        <v>0</v>
      </c>
      <c r="F14" s="11" t="n">
        <f aca="false">SUMIFS(Data!$E:$E,Data!$A:$A,F$1,Data!$B:$B,$B$2)</f>
        <v>107.53</v>
      </c>
      <c r="G14" s="11" t="n">
        <f aca="false">SUMIFS(Data!$E:$E,Data!$A:$A,G$1,Data!$B:$B,$B$2)</f>
        <v>0</v>
      </c>
      <c r="H14" s="11" t="n">
        <f aca="false">SUMIFS(Data!$E:$E,Data!$A:$A,H$1,Data!$B:$B,$B$2)</f>
        <v>0</v>
      </c>
      <c r="I14" s="11" t="n">
        <f aca="false">SUMIFS(Data!$E:$E,Data!$A:$A,I$1,Data!$B:$B,$B$2)</f>
        <v>92.16</v>
      </c>
      <c r="J14" s="11" t="n">
        <f aca="false">SUMIFS(Data!$E:$E,Data!$A:$A,J$1,Data!$B:$B,$B$2)</f>
        <v>67.27</v>
      </c>
    </row>
    <row r="16" customFormat="false" ht="15" hidden="false" customHeight="false" outlineLevel="0" collapsed="false">
      <c r="B16" s="1" t="s">
        <v>24</v>
      </c>
    </row>
    <row r="17" customFormat="false" ht="15" hidden="false" customHeight="false" outlineLevel="0" collapsed="false">
      <c r="B17" s="0" t="s">
        <v>25</v>
      </c>
      <c r="C17" s="12" t="n">
        <v>0.2</v>
      </c>
    </row>
    <row r="18" customFormat="false" ht="15" hidden="false" customHeight="false" outlineLevel="0" collapsed="false">
      <c r="B18" s="0" t="s">
        <v>26</v>
      </c>
      <c r="C18" s="12" t="n">
        <v>0.153</v>
      </c>
    </row>
    <row r="19" customFormat="false" ht="15" hidden="false" customHeight="false" outlineLevel="0" collapsed="false">
      <c r="B19" s="0" t="s">
        <v>27</v>
      </c>
      <c r="C19" s="13" t="n">
        <v>2.42</v>
      </c>
    </row>
    <row r="20" customFormat="false" ht="15" hidden="false" customHeight="false" outlineLevel="0" collapsed="false">
      <c r="B20" s="0" t="s">
        <v>28</v>
      </c>
      <c r="C20" s="13" t="n">
        <v>3.96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2026-06-29T08:37:22Z</dcterms:created>
  <dc:creator>openpyxl</dc:creator>
  <dc:description/>
  <dc:language>en-US</dc:language>
  <cp:lastModifiedBy/>
  <dcterms:modified xsi:type="dcterms:W3CDTF">2026-06-29T08:37:22Z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