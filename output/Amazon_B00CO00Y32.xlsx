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1" activeTab="1"/>
  </bookViews>
  <sheets>
    <sheet name="Data" sheetId="1" state="hidden" r:id="rId3"/>
    <sheet name="Rap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<sst xmlns="http://schemas.openxmlformats.org/spreadsheetml/2006/main" count="48" uniqueCount="29">
  <si>
    <t xml:space="preserve">date</t>
  </si>
  <si>
    <t xml:space="preserve">childAsin</t>
  </si>
  <si>
    <t xml:space="preserve">unitsOrdered</t>
  </si>
  <si>
    <t xml:space="preserve">orderedProductSales</t>
  </si>
  <si>
    <t xml:space="preserve">unitSessionPercentage</t>
  </si>
  <si>
    <t xml:space="preserve">B00CO00Y32</t>
  </si>
  <si>
    <t xml:space="preserve">Datum (Column A)</t>
  </si>
  <si>
    <t xml:space="preserve">ASin</t>
  </si>
  <si>
    <t xml:space="preserve">C40</t>
  </si>
  <si>
    <t xml:space="preserve">Sales #</t>
  </si>
  <si>
    <t xml:space="preserve">Column D</t>
  </si>
  <si>
    <t xml:space="preserve">Sales £</t>
  </si>
  <si>
    <t xml:space="preserve">Column F</t>
  </si>
  <si>
    <t xml:space="preserve">Avg. RSP (gross)</t>
  </si>
  <si>
    <t xml:space="preserve">Avg. RSP (net)</t>
  </si>
  <si>
    <t xml:space="preserve">Commission + AdFee</t>
  </si>
  <si>
    <t xml:space="preserve">FBA</t>
  </si>
  <si>
    <t xml:space="preserve">COGS</t>
  </si>
  <si>
    <t xml:space="preserve">Margin (%)</t>
  </si>
  <si>
    <t xml:space="preserve">Margin (abs)</t>
  </si>
  <si>
    <t xml:space="preserve">Margin Tot. (abs)</t>
  </si>
  <si>
    <t xml:space="preserve">Margin Net. (abs)</t>
  </si>
  <si>
    <t xml:space="preserve">CVR</t>
  </si>
  <si>
    <t xml:space="preserve">Column AF</t>
  </si>
  <si>
    <t xml:space="preserve">Aannames</t>
  </si>
  <si>
    <t xml:space="preserve">BTW</t>
  </si>
  <si>
    <t xml:space="preserve">Commission + AdFee %</t>
  </si>
  <si>
    <t xml:space="preserve">FBA (£/stuk)</t>
  </si>
  <si>
    <t xml:space="preserve">COGS (£/stuk)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</si>
</sst>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"/>
    <numFmt numFmtId="167" formatCode="\£#,##0.00"/>
    <numFmt numFmtId="168" formatCode="0.0%"/>
    <numFmt numFmtId="169" formatCode="0.0\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n">
        <v>46145</v>
      </c>
      <c r="B2" s="3" t="s">
        <v>5</v>
      </c>
      <c r="C2" s="0" t="n">
        <v>77</v>
      </c>
      <c r="D2" s="0" t="n">
        <v>1226.83</v>
      </c>
      <c r="E2" s="0" t="n">
        <v>88.51</v>
      </c>
    </row>
    <row r="3" customFormat="false" ht="15" hidden="false" customHeight="false" outlineLevel="0" collapsed="false">
      <c r="A3" s="2" t="n">
        <v>46146</v>
      </c>
      <c r="B3" s="3" t="s">
        <v>5</v>
      </c>
      <c r="C3" s="0" t="n">
        <v>78</v>
      </c>
      <c r="D3" s="0" t="n">
        <v>1237.84</v>
      </c>
      <c r="E3" s="0" t="n">
        <v>0</v>
      </c>
    </row>
    <row r="4" customFormat="false" ht="15" hidden="false" customHeight="false" outlineLevel="0" collapsed="false">
      <c r="A4" s="2" t="n">
        <v>46147</v>
      </c>
      <c r="B4" s="3" t="s">
        <v>5</v>
      </c>
      <c r="C4" s="0" t="n">
        <v>100</v>
      </c>
      <c r="D4" s="0" t="n">
        <v>1575.67</v>
      </c>
      <c r="E4" s="0" t="n">
        <v>107.53</v>
      </c>
    </row>
    <row r="5" customFormat="false" ht="15" hidden="false" customHeight="false" outlineLevel="0" collapsed="false">
      <c r="A5" s="2" t="n">
        <v>46148</v>
      </c>
      <c r="B5" s="3" t="s">
        <v>5</v>
      </c>
      <c r="C5" s="0" t="n">
        <v>53</v>
      </c>
      <c r="D5" s="0" t="n">
        <v>1058.27</v>
      </c>
      <c r="E5" s="0" t="n">
        <v>0</v>
      </c>
    </row>
    <row r="6" customFormat="false" ht="15" hidden="false" customHeight="false" outlineLevel="0" collapsed="false">
      <c r="A6" s="2" t="n">
        <v>46149</v>
      </c>
      <c r="B6" s="3" t="s">
        <v>5</v>
      </c>
      <c r="C6" s="0" t="n">
        <v>65</v>
      </c>
      <c r="D6" s="0" t="n">
        <v>1298.14</v>
      </c>
      <c r="E6" s="0" t="n">
        <v>0</v>
      </c>
    </row>
    <row r="7" customFormat="false" ht="15" hidden="false" customHeight="false" outlineLevel="0" collapsed="false">
      <c r="A7" s="2" t="n">
        <v>46150</v>
      </c>
      <c r="B7" s="3" t="s">
        <v>5</v>
      </c>
      <c r="C7" s="0" t="n">
        <v>47</v>
      </c>
      <c r="D7" s="0" t="n">
        <v>937.04</v>
      </c>
      <c r="E7" s="0" t="n">
        <v>92.16</v>
      </c>
    </row>
    <row r="8" customFormat="false" ht="15" hidden="false" customHeight="false" outlineLevel="0" collapsed="false">
      <c r="A8" s="2" t="n">
        <v>46151</v>
      </c>
      <c r="B8" s="3" t="s">
        <v>5</v>
      </c>
      <c r="C8" s="0" t="n">
        <v>37</v>
      </c>
      <c r="D8" s="0" t="n">
        <v>739.62</v>
      </c>
      <c r="E8" s="0" t="n">
        <v>67.27</v>
      </c>
    </row>
    <row r="9" customFormat="false" ht="15" hidden="false" customHeight="false" outlineLevel="0" collapsed="false">
      <c r="A9" s="2" t="n">
        <v>46153</v>
      </c>
      <c r="B9" s="3" t="s">
        <v>5</v>
      </c>
      <c r="C9" s="0" t="n">
        <v>60</v>
      </c>
      <c r="D9" s="0" t="n">
        <v>1199.26</v>
      </c>
      <c r="E9" s="0" t="n">
        <v>78.95</v>
      </c>
    </row>
    <row r="10" customFormat="false" ht="15" hidden="false" customHeight="false" outlineLevel="0" collapsed="false">
      <c r="A10" s="2" t="n">
        <v>46154</v>
      </c>
      <c r="B10" s="3" t="s">
        <v>5</v>
      </c>
      <c r="C10" s="0" t="n">
        <v>86</v>
      </c>
      <c r="D10" s="0" t="n">
        <v>1531.14</v>
      </c>
      <c r="E10" s="0" t="n">
        <v>0</v>
      </c>
    </row>
    <row r="11" customFormat="false" ht="15" hidden="false" customHeight="false" outlineLevel="0" collapsed="false">
      <c r="A11" s="2" t="n">
        <v>46155</v>
      </c>
      <c r="B11" s="3" t="s">
        <v>5</v>
      </c>
      <c r="C11" s="0" t="n">
        <v>101</v>
      </c>
      <c r="D11" s="0" t="n">
        <v>1611.87</v>
      </c>
      <c r="E11" s="0" t="n">
        <v>118.82</v>
      </c>
    </row>
    <row r="12" customFormat="false" ht="15" hidden="false" customHeight="false" outlineLevel="0" collapsed="false">
      <c r="A12" s="2" t="n">
        <v>46156</v>
      </c>
      <c r="B12" s="3" t="s">
        <v>5</v>
      </c>
      <c r="C12" s="0" t="n">
        <v>95</v>
      </c>
      <c r="D12" s="0" t="n">
        <v>1523.74</v>
      </c>
      <c r="E12" s="0" t="n">
        <v>120.25</v>
      </c>
    </row>
    <row r="13" customFormat="false" ht="15" hidden="false" customHeight="false" outlineLevel="0" collapsed="false">
      <c r="A13" s="2" t="n">
        <v>46157</v>
      </c>
      <c r="B13" s="3" t="s">
        <v>5</v>
      </c>
      <c r="C13" s="0" t="n">
        <v>107</v>
      </c>
      <c r="D13" s="0" t="n">
        <v>1705.29</v>
      </c>
      <c r="E13" s="0" t="n">
        <v>104.9</v>
      </c>
    </row>
    <row r="14" customFormat="false" ht="15" hidden="false" customHeight="false" outlineLevel="0" collapsed="false">
      <c r="A14" s="2" t="n">
        <v>46158</v>
      </c>
      <c r="B14" s="3" t="s">
        <v>5</v>
      </c>
      <c r="C14" s="0" t="n">
        <v>98</v>
      </c>
      <c r="D14" s="0" t="n">
        <v>1566.85</v>
      </c>
      <c r="E14" s="0" t="n">
        <v>65.33</v>
      </c>
    </row>
    <row r="15" customFormat="false" ht="15" hidden="false" customHeight="false" outlineLevel="0" collapsed="false">
      <c r="A15" s="2" t="n">
        <v>46159</v>
      </c>
      <c r="B15" s="3" t="s">
        <v>5</v>
      </c>
      <c r="C15" s="0" t="n">
        <v>194</v>
      </c>
      <c r="D15" s="0" t="n">
        <v>2636.16</v>
      </c>
      <c r="E15" s="0" t="n">
        <v>0</v>
      </c>
    </row>
    <row r="16" customFormat="false" ht="15" hidden="false" customHeight="false" outlineLevel="0" collapsed="false">
      <c r="A16" s="2" t="n">
        <v>46160</v>
      </c>
      <c r="B16" s="3" t="s">
        <v>5</v>
      </c>
      <c r="C16" s="0" t="n">
        <v>263</v>
      </c>
      <c r="D16" s="0" t="n">
        <v>3571.97</v>
      </c>
      <c r="E16" s="0" t="n">
        <v>0</v>
      </c>
    </row>
    <row r="17" customFormat="false" ht="15" hidden="false" customHeight="false" outlineLevel="0" collapsed="false">
      <c r="A17" s="2" t="n">
        <v>46161</v>
      </c>
      <c r="B17" s="3" t="s">
        <v>5</v>
      </c>
      <c r="C17" s="0" t="n">
        <v>239</v>
      </c>
      <c r="D17" s="0" t="n">
        <v>3247.76</v>
      </c>
      <c r="E17" s="0" t="n">
        <v>76.85</v>
      </c>
    </row>
    <row r="18" customFormat="false" ht="15" hidden="false" customHeight="false" outlineLevel="0" collapsed="false">
      <c r="A18" s="2" t="n">
        <v>46162</v>
      </c>
      <c r="B18" s="3" t="s">
        <v>5</v>
      </c>
      <c r="C18" s="0" t="n">
        <v>250</v>
      </c>
      <c r="D18" s="0" t="n">
        <v>3389.11</v>
      </c>
      <c r="E18" s="0" t="n">
        <v>84.18</v>
      </c>
    </row>
    <row r="19" customFormat="false" ht="15" hidden="false" customHeight="false" outlineLevel="0" collapsed="false">
      <c r="A19" s="2" t="n">
        <v>46163</v>
      </c>
      <c r="B19" s="3" t="s">
        <v>5</v>
      </c>
      <c r="C19" s="0" t="n">
        <v>205</v>
      </c>
      <c r="D19" s="0" t="n">
        <v>2786</v>
      </c>
      <c r="E19" s="0" t="n">
        <v>82.66</v>
      </c>
    </row>
    <row r="20" customFormat="false" ht="15" hidden="false" customHeight="false" outlineLevel="0" collapsed="false">
      <c r="A20" s="2" t="n">
        <v>46201</v>
      </c>
      <c r="B20" s="3" t="s">
        <v>5</v>
      </c>
      <c r="C20" s="0" t="n">
        <v>47</v>
      </c>
      <c r="D20" s="0" t="n">
        <v>747.4</v>
      </c>
      <c r="E2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22" min="4" style="0" width="12"/>
  </cols>
  <sheetData>
    <row r="1" customFormat="false" ht="15" hidden="false" customHeight="false" outlineLevel="0" collapsed="false">
      <c r="C1" s="4" t="s">
        <v>6</v>
      </c>
      <c r="D1" s="5" t="n">
        <v>46145</v>
      </c>
      <c r="E1" s="5" t="n">
        <v>46146</v>
      </c>
      <c r="F1" s="5" t="n">
        <v>46147</v>
      </c>
      <c r="G1" s="5" t="n">
        <v>46148</v>
      </c>
      <c r="H1" s="5" t="n">
        <v>46149</v>
      </c>
      <c r="I1" s="5" t="n">
        <v>46150</v>
      </c>
      <c r="J1" s="5" t="n">
        <v>46151</v>
      </c>
      <c r="K1" s="5" t="n">
        <v>46153</v>
      </c>
      <c r="L1" s="5" t="n">
        <v>46154</v>
      </c>
      <c r="M1" s="5" t="n">
        <v>46155</v>
      </c>
      <c r="N1" s="5" t="n">
        <v>46156</v>
      </c>
      <c r="O1" s="5" t="n">
        <v>46157</v>
      </c>
      <c r="P1" s="5" t="n">
        <v>46158</v>
      </c>
      <c r="Q1" s="5" t="n">
        <v>46159</v>
      </c>
      <c r="R1" s="5" t="n">
        <v>46160</v>
      </c>
      <c r="S1" s="5" t="n">
        <v>46161</v>
      </c>
      <c r="T1" s="5" t="n">
        <v>46162</v>
      </c>
      <c r="U1" s="5" t="n">
        <v>46163</v>
      </c>
      <c r="V1" s="5" t="n">
        <v>46201</v>
      </c>
    </row>
    <row r="2" customFormat="false" ht="15" hidden="false" customHeight="false" outlineLevel="0" collapsed="false">
      <c r="A2" s="1" t="s">
        <v>7</v>
      </c>
      <c r="B2" s="1" t="s">
        <v>5</v>
      </c>
    </row>
    <row r="3" customFormat="false" ht="15" hidden="false" customHeight="false" outlineLevel="0" collapsed="false">
      <c r="A3" s="6" t="s">
        <v>8</v>
      </c>
      <c r="B3" s="1" t="s">
        <v>9</v>
      </c>
      <c r="C3" s="4" t="s">
        <v>10</v>
      </c>
      <c r="D3" s="7" t="n">
        <f aca="false">SUMIFS(Data!$C:$C,Data!$A:$A,D$1,Data!$B:$B,$B$2)</f>
        <v>77</v>
      </c>
      <c r="E3" s="7" t="n">
        <f aca="false">SUMIFS(Data!$C:$C,Data!$A:$A,E$1,Data!$B:$B,$B$2)</f>
        <v>78</v>
      </c>
      <c r="F3" s="7" t="n">
        <f aca="false">SUMIFS(Data!$C:$C,Data!$A:$A,F$1,Data!$B:$B,$B$2)</f>
        <v>100</v>
      </c>
      <c r="G3" s="7" t="n">
        <f aca="false">SUMIFS(Data!$C:$C,Data!$A:$A,G$1,Data!$B:$B,$B$2)</f>
        <v>53</v>
      </c>
      <c r="H3" s="7" t="n">
        <f aca="false">SUMIFS(Data!$C:$C,Data!$A:$A,H$1,Data!$B:$B,$B$2)</f>
        <v>65</v>
      </c>
      <c r="I3" s="7" t="n">
        <f aca="false">SUMIFS(Data!$C:$C,Data!$A:$A,I$1,Data!$B:$B,$B$2)</f>
        <v>47</v>
      </c>
      <c r="J3" s="7" t="n">
        <f aca="false">SUMIFS(Data!$C:$C,Data!$A:$A,J$1,Data!$B:$B,$B$2)</f>
        <v>37</v>
      </c>
      <c r="K3" s="7" t="n">
        <f aca="false">SUMIFS(Data!$C:$C,Data!$A:$A,K$1,Data!$B:$B,$B$2)</f>
        <v>60</v>
      </c>
      <c r="L3" s="7" t="n">
        <f aca="false">SUMIFS(Data!$C:$C,Data!$A:$A,L$1,Data!$B:$B,$B$2)</f>
        <v>86</v>
      </c>
      <c r="M3" s="7" t="n">
        <f aca="false">SUMIFS(Data!$C:$C,Data!$A:$A,M$1,Data!$B:$B,$B$2)</f>
        <v>101</v>
      </c>
      <c r="N3" s="7" t="n">
        <f aca="false">SUMIFS(Data!$C:$C,Data!$A:$A,N$1,Data!$B:$B,$B$2)</f>
        <v>95</v>
      </c>
      <c r="O3" s="7" t="n">
        <f aca="false">SUMIFS(Data!$C:$C,Data!$A:$A,O$1,Data!$B:$B,$B$2)</f>
        <v>107</v>
      </c>
      <c r="P3" s="7" t="n">
        <f aca="false">SUMIFS(Data!$C:$C,Data!$A:$A,P$1,Data!$B:$B,$B$2)</f>
        <v>98</v>
      </c>
      <c r="Q3" s="7" t="n">
        <f aca="false">SUMIFS(Data!$C:$C,Data!$A:$A,Q$1,Data!$B:$B,$B$2)</f>
        <v>194</v>
      </c>
      <c r="R3" s="7" t="n">
        <f aca="false">SUMIFS(Data!$C:$C,Data!$A:$A,R$1,Data!$B:$B,$B$2)</f>
        <v>263</v>
      </c>
      <c r="S3" s="7" t="n">
        <f aca="false">SUMIFS(Data!$C:$C,Data!$A:$A,S$1,Data!$B:$B,$B$2)</f>
        <v>239</v>
      </c>
      <c r="T3" s="7" t="n">
        <f aca="false">SUMIFS(Data!$C:$C,Data!$A:$A,T$1,Data!$B:$B,$B$2)</f>
        <v>250</v>
      </c>
      <c r="U3" s="7" t="n">
        <f aca="false">SUMIFS(Data!$C:$C,Data!$A:$A,U$1,Data!$B:$B,$B$2)</f>
        <v>205</v>
      </c>
      <c r="V3" s="7" t="n">
        <f aca="false">SUMIFS(Data!$C:$C,Data!$A:$A,V$1,Data!$B:$B,$B$2)</f>
        <v>47</v>
      </c>
    </row>
    <row r="4" customFormat="false" ht="15" hidden="false" customHeight="false" outlineLevel="0" collapsed="false">
      <c r="B4" s="1" t="s">
        <v>11</v>
      </c>
      <c r="C4" s="4" t="s">
        <v>12</v>
      </c>
      <c r="D4" s="8" t="n">
        <f aca="false">SUMIFS(Data!$D:$D,Data!$A:$A,D$1,Data!$B:$B,$B$2)</f>
        <v>1226.83</v>
      </c>
      <c r="E4" s="8" t="n">
        <f aca="false">SUMIFS(Data!$D:$D,Data!$A:$A,E$1,Data!$B:$B,$B$2)</f>
        <v>1237.84</v>
      </c>
      <c r="F4" s="8" t="n">
        <f aca="false">SUMIFS(Data!$D:$D,Data!$A:$A,F$1,Data!$B:$B,$B$2)</f>
        <v>1575.67</v>
      </c>
      <c r="G4" s="8" t="n">
        <f aca="false">SUMIFS(Data!$D:$D,Data!$A:$A,G$1,Data!$B:$B,$B$2)</f>
        <v>1058.27</v>
      </c>
      <c r="H4" s="8" t="n">
        <f aca="false">SUMIFS(Data!$D:$D,Data!$A:$A,H$1,Data!$B:$B,$B$2)</f>
        <v>1298.14</v>
      </c>
      <c r="I4" s="8" t="n">
        <f aca="false">SUMIFS(Data!$D:$D,Data!$A:$A,I$1,Data!$B:$B,$B$2)</f>
        <v>937.04</v>
      </c>
      <c r="J4" s="8" t="n">
        <f aca="false">SUMIFS(Data!$D:$D,Data!$A:$A,J$1,Data!$B:$B,$B$2)</f>
        <v>739.62</v>
      </c>
      <c r="K4" s="8" t="n">
        <f aca="false">SUMIFS(Data!$D:$D,Data!$A:$A,K$1,Data!$B:$B,$B$2)</f>
        <v>1199.26</v>
      </c>
      <c r="L4" s="8" t="n">
        <f aca="false">SUMIFS(Data!$D:$D,Data!$A:$A,L$1,Data!$B:$B,$B$2)</f>
        <v>1531.14</v>
      </c>
      <c r="M4" s="8" t="n">
        <f aca="false">SUMIFS(Data!$D:$D,Data!$A:$A,M$1,Data!$B:$B,$B$2)</f>
        <v>1611.87</v>
      </c>
      <c r="N4" s="8" t="n">
        <f aca="false">SUMIFS(Data!$D:$D,Data!$A:$A,N$1,Data!$B:$B,$B$2)</f>
        <v>1523.74</v>
      </c>
      <c r="O4" s="8" t="n">
        <f aca="false">SUMIFS(Data!$D:$D,Data!$A:$A,O$1,Data!$B:$B,$B$2)</f>
        <v>1705.29</v>
      </c>
      <c r="P4" s="8" t="n">
        <f aca="false">SUMIFS(Data!$D:$D,Data!$A:$A,P$1,Data!$B:$B,$B$2)</f>
        <v>1566.85</v>
      </c>
      <c r="Q4" s="8" t="n">
        <f aca="false">SUMIFS(Data!$D:$D,Data!$A:$A,Q$1,Data!$B:$B,$B$2)</f>
        <v>2636.16</v>
      </c>
      <c r="R4" s="8" t="n">
        <f aca="false">SUMIFS(Data!$D:$D,Data!$A:$A,R$1,Data!$B:$B,$B$2)</f>
        <v>3571.97</v>
      </c>
      <c r="S4" s="8" t="n">
        <f aca="false">SUMIFS(Data!$D:$D,Data!$A:$A,S$1,Data!$B:$B,$B$2)</f>
        <v>3247.76</v>
      </c>
      <c r="T4" s="8" t="n">
        <f aca="false">SUMIFS(Data!$D:$D,Data!$A:$A,T$1,Data!$B:$B,$B$2)</f>
        <v>3389.11</v>
      </c>
      <c r="U4" s="8" t="n">
        <f aca="false">SUMIFS(Data!$D:$D,Data!$A:$A,U$1,Data!$B:$B,$B$2)</f>
        <v>2786</v>
      </c>
      <c r="V4" s="8" t="n">
        <f aca="false">SUMIFS(Data!$D:$D,Data!$A:$A,V$1,Data!$B:$B,$B$2)</f>
        <v>747.4</v>
      </c>
    </row>
    <row r="5" customFormat="false" ht="15" hidden="false" customHeight="false" outlineLevel="0" collapsed="false">
      <c r="B5" s="9" t="s">
        <v>13</v>
      </c>
      <c r="C5" s="4"/>
      <c r="D5" s="8" t="n">
        <f aca="false">IF(D3=0,0,D4/D3)</f>
        <v>15.9328571428571</v>
      </c>
      <c r="E5" s="8" t="n">
        <f aca="false">IF(E3=0,0,E4/E3)</f>
        <v>15.8697435897436</v>
      </c>
      <c r="F5" s="8" t="n">
        <f aca="false">IF(F3=0,0,F4/F3)</f>
        <v>15.7567</v>
      </c>
      <c r="G5" s="8" t="n">
        <f aca="false">IF(G3=0,0,G4/G3)</f>
        <v>19.967358490566</v>
      </c>
      <c r="H5" s="8" t="n">
        <f aca="false">IF(H3=0,0,H4/H3)</f>
        <v>19.9713846153846</v>
      </c>
      <c r="I5" s="8" t="n">
        <f aca="false">IF(I3=0,0,I4/I3)</f>
        <v>19.9370212765957</v>
      </c>
      <c r="J5" s="8" t="n">
        <f aca="false">IF(J3=0,0,J4/J3)</f>
        <v>19.9897297297297</v>
      </c>
      <c r="K5" s="8" t="n">
        <f aca="false">IF(K3=0,0,K4/K3)</f>
        <v>19.9876666666667</v>
      </c>
      <c r="L5" s="8" t="n">
        <f aca="false">IF(L3=0,0,L4/L3)</f>
        <v>17.8039534883721</v>
      </c>
      <c r="M5" s="8" t="n">
        <f aca="false">IF(M3=0,0,M4/M3)</f>
        <v>15.9591089108911</v>
      </c>
      <c r="N5" s="8" t="n">
        <f aca="false">IF(N3=0,0,N4/N3)</f>
        <v>16.0393684210526</v>
      </c>
      <c r="O5" s="8" t="n">
        <f aca="false">IF(O3=0,0,O4/O3)</f>
        <v>15.9372897196262</v>
      </c>
      <c r="P5" s="8" t="n">
        <f aca="false">IF(P3=0,0,P4/P3)</f>
        <v>15.9882653061224</v>
      </c>
      <c r="Q5" s="8" t="n">
        <f aca="false">IF(Q3=0,0,Q4/Q3)</f>
        <v>13.5884536082474</v>
      </c>
      <c r="R5" s="8" t="n">
        <f aca="false">IF(R3=0,0,R4/R3)</f>
        <v>13.5816349809886</v>
      </c>
      <c r="S5" s="8" t="n">
        <f aca="false">IF(S3=0,0,S4/S3)</f>
        <v>13.5889539748954</v>
      </c>
      <c r="T5" s="8" t="n">
        <f aca="false">IF(T3=0,0,T4/T3)</f>
        <v>13.55644</v>
      </c>
      <c r="U5" s="8" t="n">
        <f aca="false">IF(U3=0,0,U4/U3)</f>
        <v>13.590243902439</v>
      </c>
      <c r="V5" s="8" t="n">
        <f aca="false">IF(V3=0,0,V4/V3)</f>
        <v>15.9021276595745</v>
      </c>
    </row>
    <row r="6" customFormat="false" ht="15" hidden="false" customHeight="false" outlineLevel="0" collapsed="false">
      <c r="B6" s="9" t="s">
        <v>14</v>
      </c>
      <c r="C6" s="4"/>
      <c r="D6" s="8" t="n">
        <f aca="false">D5/(1+$C$17)</f>
        <v>13.277380952381</v>
      </c>
      <c r="E6" s="8" t="n">
        <f aca="false">E5/(1+$C$17)</f>
        <v>13.2247863247863</v>
      </c>
      <c r="F6" s="8" t="n">
        <f aca="false">F5/(1+$C$17)</f>
        <v>13.1305833333333</v>
      </c>
      <c r="G6" s="8" t="n">
        <f aca="false">G5/(1+$C$17)</f>
        <v>16.639465408805</v>
      </c>
      <c r="H6" s="8" t="n">
        <f aca="false">H5/(1+$C$17)</f>
        <v>16.6428205128205</v>
      </c>
      <c r="I6" s="8" t="n">
        <f aca="false">I5/(1+$C$17)</f>
        <v>16.6141843971631</v>
      </c>
      <c r="J6" s="8" t="n">
        <f aca="false">J5/(1+$C$17)</f>
        <v>16.6581081081081</v>
      </c>
      <c r="K6" s="8" t="n">
        <f aca="false">K5/(1+$C$17)</f>
        <v>16.6563888888889</v>
      </c>
      <c r="L6" s="8" t="n">
        <f aca="false">L5/(1+$C$17)</f>
        <v>14.8366279069767</v>
      </c>
      <c r="M6" s="8" t="n">
        <f aca="false">M5/(1+$C$17)</f>
        <v>13.2992574257426</v>
      </c>
      <c r="N6" s="8" t="n">
        <f aca="false">N5/(1+$C$17)</f>
        <v>13.3661403508772</v>
      </c>
      <c r="O6" s="8" t="n">
        <f aca="false">O5/(1+$C$17)</f>
        <v>13.2810747663551</v>
      </c>
      <c r="P6" s="8" t="n">
        <f aca="false">P5/(1+$C$17)</f>
        <v>13.3235544217687</v>
      </c>
      <c r="Q6" s="8" t="n">
        <f aca="false">Q5/(1+$C$17)</f>
        <v>11.3237113402062</v>
      </c>
      <c r="R6" s="8" t="n">
        <f aca="false">R5/(1+$C$17)</f>
        <v>11.3180291508238</v>
      </c>
      <c r="S6" s="8" t="n">
        <f aca="false">S5/(1+$C$17)</f>
        <v>11.3241283124128</v>
      </c>
      <c r="T6" s="8" t="n">
        <f aca="false">T5/(1+$C$17)</f>
        <v>11.2970333333333</v>
      </c>
      <c r="U6" s="8" t="n">
        <f aca="false">U5/(1+$C$17)</f>
        <v>11.3252032520325</v>
      </c>
      <c r="V6" s="8" t="n">
        <f aca="false">V5/(1+$C$17)</f>
        <v>13.2517730496454</v>
      </c>
    </row>
    <row r="7" customFormat="false" ht="15" hidden="false" customHeight="false" outlineLevel="0" collapsed="false">
      <c r="B7" s="9" t="s">
        <v>15</v>
      </c>
      <c r="C7" s="4"/>
      <c r="D7" s="8" t="n">
        <f aca="false">$C$18*D5</f>
        <v>2.43772714285714</v>
      </c>
      <c r="E7" s="8" t="n">
        <f aca="false">$C$18*E5</f>
        <v>2.42807076923077</v>
      </c>
      <c r="F7" s="8" t="n">
        <f aca="false">$C$18*F5</f>
        <v>2.4107751</v>
      </c>
      <c r="G7" s="8" t="n">
        <f aca="false">$C$18*G5</f>
        <v>3.0550058490566</v>
      </c>
      <c r="H7" s="8" t="n">
        <f aca="false">$C$18*H5</f>
        <v>3.05562184615385</v>
      </c>
      <c r="I7" s="8" t="n">
        <f aca="false">$C$18*I5</f>
        <v>3.05036425531915</v>
      </c>
      <c r="J7" s="8" t="n">
        <f aca="false">$C$18*J5</f>
        <v>3.05842864864865</v>
      </c>
      <c r="K7" s="8" t="n">
        <f aca="false">$C$18*K5</f>
        <v>3.058113</v>
      </c>
      <c r="L7" s="8" t="n">
        <f aca="false">$C$18*L5</f>
        <v>2.72400488372093</v>
      </c>
      <c r="M7" s="8" t="n">
        <f aca="false">$C$18*M5</f>
        <v>2.44174366336634</v>
      </c>
      <c r="N7" s="8" t="n">
        <f aca="false">$C$18*N5</f>
        <v>2.45402336842105</v>
      </c>
      <c r="O7" s="8" t="n">
        <f aca="false">$C$18*O5</f>
        <v>2.4384053271028</v>
      </c>
      <c r="P7" s="8" t="n">
        <f aca="false">$C$18*P5</f>
        <v>2.44620459183673</v>
      </c>
      <c r="Q7" s="8" t="n">
        <f aca="false">$C$18*Q5</f>
        <v>2.07903340206186</v>
      </c>
      <c r="R7" s="8" t="n">
        <f aca="false">$C$18*R5</f>
        <v>2.07799015209125</v>
      </c>
      <c r="S7" s="8" t="n">
        <f aca="false">$C$18*S5</f>
        <v>2.079109958159</v>
      </c>
      <c r="T7" s="8" t="n">
        <f aca="false">$C$18*T5</f>
        <v>2.07413532</v>
      </c>
      <c r="U7" s="8" t="n">
        <f aca="false">$C$18*U5</f>
        <v>2.07930731707317</v>
      </c>
      <c r="V7" s="8" t="n">
        <f aca="false">$C$18*V5</f>
        <v>2.43302553191489</v>
      </c>
    </row>
    <row r="8" customFormat="false" ht="15" hidden="false" customHeight="false" outlineLevel="0" collapsed="false">
      <c r="B8" s="9" t="s">
        <v>16</v>
      </c>
      <c r="C8" s="4"/>
      <c r="D8" s="8" t="n">
        <f aca="false">$C$19</f>
        <v>2.42</v>
      </c>
      <c r="E8" s="8" t="n">
        <f aca="false">$C$19</f>
        <v>2.42</v>
      </c>
      <c r="F8" s="8" t="n">
        <f aca="false">$C$19</f>
        <v>2.42</v>
      </c>
      <c r="G8" s="8" t="n">
        <f aca="false">$C$19</f>
        <v>2.42</v>
      </c>
      <c r="H8" s="8" t="n">
        <f aca="false">$C$19</f>
        <v>2.42</v>
      </c>
      <c r="I8" s="8" t="n">
        <f aca="false">$C$19</f>
        <v>2.42</v>
      </c>
      <c r="J8" s="8" t="n">
        <f aca="false">$C$19</f>
        <v>2.42</v>
      </c>
      <c r="K8" s="8" t="n">
        <f aca="false">$C$19</f>
        <v>2.42</v>
      </c>
      <c r="L8" s="8" t="n">
        <f aca="false">$C$19</f>
        <v>2.42</v>
      </c>
      <c r="M8" s="8" t="n">
        <f aca="false">$C$19</f>
        <v>2.42</v>
      </c>
      <c r="N8" s="8" t="n">
        <f aca="false">$C$19</f>
        <v>2.42</v>
      </c>
      <c r="O8" s="8" t="n">
        <f aca="false">$C$19</f>
        <v>2.42</v>
      </c>
      <c r="P8" s="8" t="n">
        <f aca="false">$C$19</f>
        <v>2.42</v>
      </c>
      <c r="Q8" s="8" t="n">
        <f aca="false">$C$19</f>
        <v>2.42</v>
      </c>
      <c r="R8" s="8" t="n">
        <f aca="false">$C$19</f>
        <v>2.42</v>
      </c>
      <c r="S8" s="8" t="n">
        <f aca="false">$C$19</f>
        <v>2.42</v>
      </c>
      <c r="T8" s="8" t="n">
        <f aca="false">$C$19</f>
        <v>2.42</v>
      </c>
      <c r="U8" s="8" t="n">
        <f aca="false">$C$19</f>
        <v>2.42</v>
      </c>
      <c r="V8" s="8" t="n">
        <f aca="false">$C$19</f>
        <v>2.42</v>
      </c>
    </row>
    <row r="9" customFormat="false" ht="15" hidden="false" customHeight="false" outlineLevel="0" collapsed="false">
      <c r="B9" s="9" t="s">
        <v>17</v>
      </c>
      <c r="C9" s="4"/>
      <c r="D9" s="8" t="n">
        <f aca="false">$C$20</f>
        <v>3.96</v>
      </c>
      <c r="E9" s="8" t="n">
        <f aca="false">$C$20</f>
        <v>3.96</v>
      </c>
      <c r="F9" s="8" t="n">
        <f aca="false">$C$20</f>
        <v>3.96</v>
      </c>
      <c r="G9" s="8" t="n">
        <f aca="false">$C$20</f>
        <v>3.96</v>
      </c>
      <c r="H9" s="8" t="n">
        <f aca="false">$C$20</f>
        <v>3.96</v>
      </c>
      <c r="I9" s="8" t="n">
        <f aca="false">$C$20</f>
        <v>3.96</v>
      </c>
      <c r="J9" s="8" t="n">
        <f aca="false">$C$20</f>
        <v>3.96</v>
      </c>
      <c r="K9" s="8" t="n">
        <f aca="false">$C$20</f>
        <v>3.96</v>
      </c>
      <c r="L9" s="8" t="n">
        <f aca="false">$C$20</f>
        <v>3.96</v>
      </c>
      <c r="M9" s="8" t="n">
        <f aca="false">$C$20</f>
        <v>3.96</v>
      </c>
      <c r="N9" s="8" t="n">
        <f aca="false">$C$20</f>
        <v>3.96</v>
      </c>
      <c r="O9" s="8" t="n">
        <f aca="false">$C$20</f>
        <v>3.96</v>
      </c>
      <c r="P9" s="8" t="n">
        <f aca="false">$C$20</f>
        <v>3.96</v>
      </c>
      <c r="Q9" s="8" t="n">
        <f aca="false">$C$20</f>
        <v>3.96</v>
      </c>
      <c r="R9" s="8" t="n">
        <f aca="false">$C$20</f>
        <v>3.96</v>
      </c>
      <c r="S9" s="8" t="n">
        <f aca="false">$C$20</f>
        <v>3.96</v>
      </c>
      <c r="T9" s="8" t="n">
        <f aca="false">$C$20</f>
        <v>3.96</v>
      </c>
      <c r="U9" s="8" t="n">
        <f aca="false">$C$20</f>
        <v>3.96</v>
      </c>
      <c r="V9" s="8" t="n">
        <f aca="false">$C$20</f>
        <v>3.96</v>
      </c>
    </row>
    <row r="10" customFormat="false" ht="15" hidden="false" customHeight="false" outlineLevel="0" collapsed="false">
      <c r="B10" s="9" t="s">
        <v>18</v>
      </c>
      <c r="C10" s="4"/>
      <c r="D10" s="10" t="n">
        <f aca="false">IF(D6=0,0,D11/D6)</f>
        <v>0.335883547027706</v>
      </c>
      <c r="E10" s="10" t="n">
        <f aca="false">IF(E6=0,0,E11/E6)</f>
        <v>0.333972545724811</v>
      </c>
      <c r="F10" s="10" t="n">
        <f aca="false">IF(F6=0,0,F11/F6)</f>
        <v>0.330511457348303</v>
      </c>
      <c r="G10" s="10" t="n">
        <f aca="false">IF(G6=0,0,G11/G6)</f>
        <v>0.432974220189555</v>
      </c>
      <c r="H10" s="10" t="n">
        <f aca="false">IF(H6=0,0,H11/H6)</f>
        <v>0.433051516785555</v>
      </c>
      <c r="I10" s="10" t="n">
        <f aca="false">IF(I6=0,0,I11/I6)</f>
        <v>0.432390779475796</v>
      </c>
      <c r="J10" s="10" t="n">
        <f aca="false">IF(J6=0,0,J11/J6)</f>
        <v>0.433403326032287</v>
      </c>
      <c r="K10" s="10" t="n">
        <f aca="false">IF(K6=0,0,K11/K6)</f>
        <v>0.433363794339843</v>
      </c>
      <c r="L10" s="10" t="n">
        <f aca="false">IF(L6=0,0,L11/L6)</f>
        <v>0.386383149809946</v>
      </c>
      <c r="M10" s="10" t="n">
        <f aca="false">IF(M6=0,0,M11/M6)</f>
        <v>0.336673967503583</v>
      </c>
      <c r="N10" s="10" t="n">
        <f aca="false">IF(N6=0,0,N11/N6)</f>
        <v>0.339074472022786</v>
      </c>
      <c r="O10" s="10" t="n">
        <f aca="false">IF(O6=0,0,O11/O6)</f>
        <v>0.336017191210879</v>
      </c>
      <c r="P10" s="10" t="n">
        <f aca="false">IF(P6=0,0,P11/P6)</f>
        <v>0.337548801735967</v>
      </c>
      <c r="Q10" s="10" t="n">
        <f aca="false">IF(Q6=0,0,Q11/Q6)</f>
        <v>0.252980480699199</v>
      </c>
      <c r="R10" s="10" t="n">
        <f aca="false">IF(R6=0,0,R11/R6)</f>
        <v>0.25269761728122</v>
      </c>
      <c r="S10" s="10" t="n">
        <f aca="false">IF(S6=0,0,S11/S6)</f>
        <v>0.253001226691627</v>
      </c>
      <c r="T10" s="10" t="n">
        <f aca="false">IF(T6=0,0,T11/T6)</f>
        <v>0.251649962379504</v>
      </c>
      <c r="U10" s="10" t="n">
        <f aca="false">IF(U6=0,0,U11/U6)</f>
        <v>0.253054702081838</v>
      </c>
      <c r="V10" s="10" t="n">
        <f aca="false">IF(V6=0,0,V11/V6)</f>
        <v>0.334954990634199</v>
      </c>
    </row>
    <row r="11" customFormat="false" ht="15" hidden="false" customHeight="false" outlineLevel="0" collapsed="false">
      <c r="B11" s="9" t="s">
        <v>19</v>
      </c>
      <c r="C11" s="4"/>
      <c r="D11" s="8" t="n">
        <f aca="false">D6-D7-D8-D9</f>
        <v>4.45965380952381</v>
      </c>
      <c r="E11" s="8" t="n">
        <f aca="false">E6-E7-E8-E9</f>
        <v>4.41671555555555</v>
      </c>
      <c r="F11" s="8" t="n">
        <f aca="false">F6-F7-F8-F9</f>
        <v>4.33980823333333</v>
      </c>
      <c r="G11" s="8" t="n">
        <f aca="false">G6-G7-G8-G9</f>
        <v>7.20445955974843</v>
      </c>
      <c r="H11" s="8" t="n">
        <f aca="false">H6-H7-H8-H9</f>
        <v>7.20719866666667</v>
      </c>
      <c r="I11" s="8" t="n">
        <f aca="false">I6-I7-I8-I9</f>
        <v>7.18382014184397</v>
      </c>
      <c r="J11" s="8" t="n">
        <f aca="false">J6-J7-J8-J9</f>
        <v>7.21967945945946</v>
      </c>
      <c r="K11" s="8" t="n">
        <f aca="false">K6-K7-K8-K9</f>
        <v>7.21827588888889</v>
      </c>
      <c r="L11" s="8" t="n">
        <f aca="false">L6-L7-L8-L9</f>
        <v>5.73262302325582</v>
      </c>
      <c r="M11" s="8" t="n">
        <f aca="false">M6-M7-M8-M9</f>
        <v>4.47751376237624</v>
      </c>
      <c r="N11" s="8" t="n">
        <f aca="false">N6-N7-N8-N9</f>
        <v>4.53211698245614</v>
      </c>
      <c r="O11" s="8" t="n">
        <f aca="false">O6-O7-O8-O9</f>
        <v>4.46266943925234</v>
      </c>
      <c r="P11" s="8" t="n">
        <f aca="false">P6-P7-P8-P9</f>
        <v>4.49734982993197</v>
      </c>
      <c r="Q11" s="8" t="n">
        <f aca="false">Q6-Q7-Q8-Q9</f>
        <v>2.86467793814433</v>
      </c>
      <c r="R11" s="8" t="n">
        <f aca="false">R6-R7-R8-R9</f>
        <v>2.86003899873257</v>
      </c>
      <c r="S11" s="8" t="n">
        <f aca="false">S6-S7-S8-S9</f>
        <v>2.86501835425384</v>
      </c>
      <c r="T11" s="8" t="n">
        <f aca="false">T6-T7-T8-T9</f>
        <v>2.84289801333333</v>
      </c>
      <c r="U11" s="8" t="n">
        <f aca="false">U6-U7-U8-U9</f>
        <v>2.86589593495935</v>
      </c>
      <c r="V11" s="8" t="n">
        <f aca="false">V6-V7-V8-V9</f>
        <v>4.4387475177305</v>
      </c>
    </row>
    <row r="12" customFormat="false" ht="15" hidden="false" customHeight="false" outlineLevel="0" collapsed="false">
      <c r="B12" s="9" t="s">
        <v>20</v>
      </c>
      <c r="C12" s="4"/>
      <c r="D12" s="8" t="n">
        <f aca="false">D11*D3</f>
        <v>343.393343333333</v>
      </c>
      <c r="E12" s="8" t="n">
        <f aca="false">E11*E3</f>
        <v>344.503813333333</v>
      </c>
      <c r="F12" s="8" t="n">
        <f aca="false">F11*F3</f>
        <v>433.980823333333</v>
      </c>
      <c r="G12" s="8" t="n">
        <f aca="false">G11*G3</f>
        <v>381.836356666667</v>
      </c>
      <c r="H12" s="8" t="n">
        <f aca="false">H11*H3</f>
        <v>468.467913333334</v>
      </c>
      <c r="I12" s="8" t="n">
        <f aca="false">I11*I3</f>
        <v>337.639546666667</v>
      </c>
      <c r="J12" s="8" t="n">
        <f aca="false">J11*J3</f>
        <v>267.12814</v>
      </c>
      <c r="K12" s="8" t="n">
        <f aca="false">K11*K3</f>
        <v>433.096553333333</v>
      </c>
      <c r="L12" s="8" t="n">
        <f aca="false">L11*L3</f>
        <v>493.00558</v>
      </c>
      <c r="M12" s="8" t="n">
        <f aca="false">M11*M3</f>
        <v>452.22889</v>
      </c>
      <c r="N12" s="8" t="n">
        <f aca="false">N11*N3</f>
        <v>430.551113333333</v>
      </c>
      <c r="O12" s="8" t="n">
        <f aca="false">O11*O3</f>
        <v>477.50563</v>
      </c>
      <c r="P12" s="8" t="n">
        <f aca="false">P11*P3</f>
        <v>440.740283333333</v>
      </c>
      <c r="Q12" s="8" t="n">
        <f aca="false">Q11*Q3</f>
        <v>555.74752</v>
      </c>
      <c r="R12" s="8" t="n">
        <f aca="false">R11*R3</f>
        <v>752.190256666667</v>
      </c>
      <c r="S12" s="8" t="n">
        <f aca="false">S11*S3</f>
        <v>684.739386666667</v>
      </c>
      <c r="T12" s="8" t="n">
        <f aca="false">T11*T3</f>
        <v>710.724503333333</v>
      </c>
      <c r="U12" s="8" t="n">
        <f aca="false">U11*U3</f>
        <v>587.508666666667</v>
      </c>
      <c r="V12" s="8" t="n">
        <f aca="false">V11*V3</f>
        <v>208.621133333333</v>
      </c>
    </row>
    <row r="13" customFormat="false" ht="15" hidden="false" customHeight="false" outlineLevel="0" collapsed="false">
      <c r="B13" s="9" t="s">
        <v>21</v>
      </c>
      <c r="C13" s="4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customFormat="false" ht="15" hidden="false" customHeight="false" outlineLevel="0" collapsed="false">
      <c r="B14" s="9" t="s">
        <v>22</v>
      </c>
      <c r="C14" s="4" t="s">
        <v>23</v>
      </c>
      <c r="D14" s="11" t="n">
        <f aca="false">SUMIFS(Data!$E:$E,Data!$A:$A,D$1,Data!$B:$B,$B$2)</f>
        <v>88.51</v>
      </c>
      <c r="E14" s="11" t="n">
        <f aca="false">SUMIFS(Data!$E:$E,Data!$A:$A,E$1,Data!$B:$B,$B$2)</f>
        <v>0</v>
      </c>
      <c r="F14" s="11" t="n">
        <f aca="false">SUMIFS(Data!$E:$E,Data!$A:$A,F$1,Data!$B:$B,$B$2)</f>
        <v>107.53</v>
      </c>
      <c r="G14" s="11" t="n">
        <f aca="false">SUMIFS(Data!$E:$E,Data!$A:$A,G$1,Data!$B:$B,$B$2)</f>
        <v>0</v>
      </c>
      <c r="H14" s="11" t="n">
        <f aca="false">SUMIFS(Data!$E:$E,Data!$A:$A,H$1,Data!$B:$B,$B$2)</f>
        <v>0</v>
      </c>
      <c r="I14" s="11" t="n">
        <f aca="false">SUMIFS(Data!$E:$E,Data!$A:$A,I$1,Data!$B:$B,$B$2)</f>
        <v>92.16</v>
      </c>
      <c r="J14" s="11" t="n">
        <f aca="false">SUMIFS(Data!$E:$E,Data!$A:$A,J$1,Data!$B:$B,$B$2)</f>
        <v>67.27</v>
      </c>
      <c r="K14" s="11" t="n">
        <f aca="false">SUMIFS(Data!$E:$E,Data!$A:$A,K$1,Data!$B:$B,$B$2)</f>
        <v>78.95</v>
      </c>
      <c r="L14" s="11" t="n">
        <f aca="false">SUMIFS(Data!$E:$E,Data!$A:$A,L$1,Data!$B:$B,$B$2)</f>
        <v>0</v>
      </c>
      <c r="M14" s="11" t="n">
        <f aca="false">SUMIFS(Data!$E:$E,Data!$A:$A,M$1,Data!$B:$B,$B$2)</f>
        <v>118.82</v>
      </c>
      <c r="N14" s="11" t="n">
        <f aca="false">SUMIFS(Data!$E:$E,Data!$A:$A,N$1,Data!$B:$B,$B$2)</f>
        <v>120.25</v>
      </c>
      <c r="O14" s="11" t="n">
        <f aca="false">SUMIFS(Data!$E:$E,Data!$A:$A,O$1,Data!$B:$B,$B$2)</f>
        <v>104.9</v>
      </c>
      <c r="P14" s="11" t="n">
        <f aca="false">SUMIFS(Data!$E:$E,Data!$A:$A,P$1,Data!$B:$B,$B$2)</f>
        <v>65.33</v>
      </c>
      <c r="Q14" s="11" t="n">
        <f aca="false">SUMIFS(Data!$E:$E,Data!$A:$A,Q$1,Data!$B:$B,$B$2)</f>
        <v>0</v>
      </c>
      <c r="R14" s="11" t="n">
        <f aca="false">SUMIFS(Data!$E:$E,Data!$A:$A,R$1,Data!$B:$B,$B$2)</f>
        <v>0</v>
      </c>
      <c r="S14" s="11" t="n">
        <f aca="false">SUMIFS(Data!$E:$E,Data!$A:$A,S$1,Data!$B:$B,$B$2)</f>
        <v>76.85</v>
      </c>
      <c r="T14" s="11" t="n">
        <f aca="false">SUMIFS(Data!$E:$E,Data!$A:$A,T$1,Data!$B:$B,$B$2)</f>
        <v>84.18</v>
      </c>
      <c r="U14" s="11" t="n">
        <f aca="false">SUMIFS(Data!$E:$E,Data!$A:$A,U$1,Data!$B:$B,$B$2)</f>
        <v>82.66</v>
      </c>
      <c r="V14" s="11" t="n">
        <f aca="false">SUMIFS(Data!$E:$E,Data!$A:$A,V$1,Data!$B:$B,$B$2)</f>
        <v>0</v>
      </c>
    </row>
    <row r="16" customFormat="false" ht="15" hidden="false" customHeight="false" outlineLevel="0" collapsed="false">
      <c r="B16" s="1" t="s">
        <v>24</v>
      </c>
    </row>
    <row r="17" customFormat="false" ht="15" hidden="false" customHeight="false" outlineLevel="0" collapsed="false">
      <c r="B17" s="0" t="s">
        <v>25</v>
      </c>
      <c r="C17" s="12" t="n">
        <v>0.2</v>
      </c>
    </row>
    <row r="18" customFormat="false" ht="15" hidden="false" customHeight="false" outlineLevel="0" collapsed="false">
      <c r="B18" s="0" t="s">
        <v>26</v>
      </c>
      <c r="C18" s="12" t="n">
        <v>0.153</v>
      </c>
    </row>
    <row r="19" customFormat="false" ht="15" hidden="false" customHeight="false" outlineLevel="0" collapsed="false">
      <c r="B19" s="0" t="s">
        <v>27</v>
      </c>
      <c r="C19" s="13" t="n">
        <v>2.42</v>
      </c>
    </row>
    <row r="20" customFormat="false" ht="15" hidden="false" customHeight="false" outlineLevel="0" collapsed="false">
      <c r="B20" s="0" t="s">
        <v>28</v>
      </c>
      <c r="C20" s="13" t="n">
        <v>3.96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2026-06-29T10:00:37Z</dcterms:created>
  <dc:creator>openpyxl</dc:creator>
  <dc:description/>
  <dc:language>en-US</dc:language>
  <cp:lastModifiedBy/>
  <dcterms:modified xsi:type="dcterms:W3CDTF">2026-06-29T10:00:37Z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