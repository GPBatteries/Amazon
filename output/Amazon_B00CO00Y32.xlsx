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Data" sheetId="1" state="hidden" r:id="rId1"/>
    <sheet name="Rap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%"/>
    <numFmt numFmtId="166" formatCode="£#,##0.00"/>
    <numFmt numFmtId="167" formatCode="0.0&quot;%&quot;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color rgb="000000FF"/>
    </font>
    <font>
      <name val="Arial"/>
    </font>
    <font>
      <name val="Arial"/>
      <color rgb="00808080"/>
    </font>
    <font>
      <name val="Arial"/>
      <i val="1"/>
      <color rgb="0080808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164" fontId="1" fillId="0" borderId="0" applyAlignment="1" pivotButton="0" quotePrefix="0" xfId="0">
      <alignment horizontal="center"/>
    </xf>
    <xf numFmtId="0" fontId="4" fillId="0" borderId="0" pivotButton="0" quotePrefix="0" xfId="0"/>
    <xf numFmtId="3" fontId="3" fillId="0" borderId="0" pivotButton="0" quotePrefix="0" xfId="0"/>
    <xf numFmtId="166" fontId="3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167" fontId="3" fillId="0" borderId="0" pivotButton="0" quotePrefix="0" xfId="0"/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childAsin</t>
        </is>
      </c>
      <c r="C1" s="1" t="inlineStr">
        <is>
          <t>unitsOrdered</t>
        </is>
      </c>
      <c r="D1" s="1" t="inlineStr">
        <is>
          <t>orderedProductSales</t>
        </is>
      </c>
      <c r="E1" s="1" t="inlineStr">
        <is>
          <t>unitSessionPercentage</t>
        </is>
      </c>
    </row>
    <row r="2">
      <c r="A2" s="2" t="n">
        <v>46145</v>
      </c>
      <c r="B2" t="inlineStr">
        <is>
          <t>B00CO00Y32</t>
        </is>
      </c>
      <c r="C2" t="n">
        <v>77</v>
      </c>
      <c r="D2" t="n">
        <v>1226.83</v>
      </c>
      <c r="E2" t="n">
        <v>88.51000000000001</v>
      </c>
    </row>
    <row r="3">
      <c r="A3" s="2" t="n">
        <v>46146</v>
      </c>
      <c r="B3" t="inlineStr">
        <is>
          <t>B00CO00Y32</t>
        </is>
      </c>
      <c r="C3" t="n">
        <v>78</v>
      </c>
      <c r="D3" t="n">
        <v>1237.84</v>
      </c>
      <c r="E3" t="n">
        <v>0</v>
      </c>
    </row>
    <row r="4">
      <c r="A4" s="2" t="n">
        <v>46147</v>
      </c>
      <c r="B4" t="inlineStr">
        <is>
          <t>B00CO00Y32</t>
        </is>
      </c>
      <c r="C4" t="n">
        <v>100</v>
      </c>
      <c r="D4" t="n">
        <v>1575.67</v>
      </c>
      <c r="E4" t="n">
        <v>107.53</v>
      </c>
    </row>
    <row r="5">
      <c r="A5" s="2" t="n">
        <v>46148</v>
      </c>
      <c r="B5" t="inlineStr">
        <is>
          <t>B00CO00Y32</t>
        </is>
      </c>
      <c r="C5" t="n">
        <v>53</v>
      </c>
      <c r="D5" t="n">
        <v>1058.27</v>
      </c>
      <c r="E5" t="n">
        <v>0</v>
      </c>
    </row>
    <row r="6">
      <c r="A6" s="2" t="n">
        <v>46149</v>
      </c>
      <c r="B6" t="inlineStr">
        <is>
          <t>B00CO00Y32</t>
        </is>
      </c>
      <c r="C6" t="n">
        <v>65</v>
      </c>
      <c r="D6" t="n">
        <v>1298.14</v>
      </c>
      <c r="E6" t="n">
        <v>0</v>
      </c>
    </row>
    <row r="7">
      <c r="A7" s="2" t="n">
        <v>46150</v>
      </c>
      <c r="B7" t="inlineStr">
        <is>
          <t>B00CO00Y32</t>
        </is>
      </c>
      <c r="C7" t="n">
        <v>47</v>
      </c>
      <c r="D7" t="n">
        <v>937.04</v>
      </c>
      <c r="E7" t="n">
        <v>92.16</v>
      </c>
    </row>
    <row r="8">
      <c r="A8" s="2" t="n">
        <v>46151</v>
      </c>
      <c r="B8" t="inlineStr">
        <is>
          <t>B00CO00Y32</t>
        </is>
      </c>
      <c r="C8" t="n">
        <v>37</v>
      </c>
      <c r="D8" t="n">
        <v>739.62</v>
      </c>
      <c r="E8" t="n">
        <v>67.27</v>
      </c>
    </row>
    <row r="9">
      <c r="A9" s="2" t="n">
        <v>46153</v>
      </c>
      <c r="B9" t="inlineStr">
        <is>
          <t>B00CO00Y32</t>
        </is>
      </c>
      <c r="C9" t="n">
        <v>60</v>
      </c>
      <c r="D9" t="n">
        <v>1199.26</v>
      </c>
      <c r="E9" t="n">
        <v>78.95</v>
      </c>
    </row>
    <row r="10">
      <c r="A10" s="2" t="n">
        <v>46154</v>
      </c>
      <c r="B10" t="inlineStr">
        <is>
          <t>B00CO00Y32</t>
        </is>
      </c>
      <c r="C10" t="n">
        <v>86</v>
      </c>
      <c r="D10" t="n">
        <v>1531.14</v>
      </c>
      <c r="E10" t="n">
        <v>0</v>
      </c>
    </row>
    <row r="11">
      <c r="A11" s="2" t="n">
        <v>46155</v>
      </c>
      <c r="B11" t="inlineStr">
        <is>
          <t>B00CO00Y32</t>
        </is>
      </c>
      <c r="C11" t="n">
        <v>101</v>
      </c>
      <c r="D11" t="n">
        <v>1611.87</v>
      </c>
      <c r="E11" t="n">
        <v>118.82</v>
      </c>
    </row>
    <row r="12">
      <c r="A12" s="2" t="n">
        <v>46156</v>
      </c>
      <c r="B12" t="inlineStr">
        <is>
          <t>B00CO00Y32</t>
        </is>
      </c>
      <c r="C12" t="n">
        <v>95</v>
      </c>
      <c r="D12" t="n">
        <v>1523.74</v>
      </c>
      <c r="E12" t="n">
        <v>120.25</v>
      </c>
    </row>
    <row r="13">
      <c r="A13" s="2" t="n">
        <v>46157</v>
      </c>
      <c r="B13" t="inlineStr">
        <is>
          <t>B00CO00Y32</t>
        </is>
      </c>
      <c r="C13" t="n">
        <v>107</v>
      </c>
      <c r="D13" t="n">
        <v>1705.29</v>
      </c>
      <c r="E13" t="n">
        <v>104.9</v>
      </c>
    </row>
    <row r="14">
      <c r="A14" s="2" t="n">
        <v>46158</v>
      </c>
      <c r="B14" t="inlineStr">
        <is>
          <t>B00CO00Y32</t>
        </is>
      </c>
      <c r="C14" t="n">
        <v>98</v>
      </c>
      <c r="D14" t="n">
        <v>1566.85</v>
      </c>
      <c r="E14" t="n">
        <v>65.33</v>
      </c>
    </row>
    <row r="15">
      <c r="A15" s="2" t="n">
        <v>46159</v>
      </c>
      <c r="B15" t="inlineStr">
        <is>
          <t>B00CO00Y32</t>
        </is>
      </c>
      <c r="C15" t="n">
        <v>194</v>
      </c>
      <c r="D15" t="n">
        <v>2636.16</v>
      </c>
      <c r="E15" t="n">
        <v>0</v>
      </c>
    </row>
    <row r="16">
      <c r="A16" s="2" t="n">
        <v>46160</v>
      </c>
      <c r="B16" t="inlineStr">
        <is>
          <t>B00CO00Y32</t>
        </is>
      </c>
      <c r="C16" t="n">
        <v>263</v>
      </c>
      <c r="D16" t="n">
        <v>3571.97</v>
      </c>
      <c r="E16" t="n">
        <v>0</v>
      </c>
    </row>
    <row r="17">
      <c r="A17" s="2" t="n">
        <v>46161</v>
      </c>
      <c r="B17" t="inlineStr">
        <is>
          <t>B00CO00Y32</t>
        </is>
      </c>
      <c r="C17" t="n">
        <v>239</v>
      </c>
      <c r="D17" t="n">
        <v>3247.76</v>
      </c>
      <c r="E17" t="n">
        <v>76.84999999999999</v>
      </c>
    </row>
    <row r="18">
      <c r="A18" s="2" t="n">
        <v>46162</v>
      </c>
      <c r="B18" t="inlineStr">
        <is>
          <t>B00CO00Y32</t>
        </is>
      </c>
      <c r="C18" t="n">
        <v>250</v>
      </c>
      <c r="D18" t="n">
        <v>3389.11</v>
      </c>
      <c r="E18" t="n">
        <v>84.18000000000001</v>
      </c>
    </row>
    <row r="19">
      <c r="A19" s="2" t="n">
        <v>46163</v>
      </c>
      <c r="B19" t="inlineStr">
        <is>
          <t>B00CO00Y32</t>
        </is>
      </c>
      <c r="C19" t="n">
        <v>205</v>
      </c>
      <c r="D19" t="n">
        <v>2786</v>
      </c>
      <c r="E19" t="n">
        <v>82.66</v>
      </c>
    </row>
    <row r="20">
      <c r="A20" s="2" t="n">
        <v>46201</v>
      </c>
      <c r="B20" t="inlineStr">
        <is>
          <t>B00CO00Y32</t>
        </is>
      </c>
      <c r="C20" t="n">
        <v>47</v>
      </c>
      <c r="D20" t="n">
        <v>747.4</v>
      </c>
      <c r="E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C1" s="3" t="inlineStr">
        <is>
          <t>Datum (Column A)</t>
        </is>
      </c>
      <c r="D1" s="4" t="n">
        <v>46145</v>
      </c>
      <c r="E1" s="4" t="n">
        <v>46146</v>
      </c>
      <c r="F1" s="4" t="n">
        <v>46147</v>
      </c>
      <c r="G1" s="4" t="n">
        <v>46148</v>
      </c>
      <c r="H1" s="4" t="n">
        <v>46149</v>
      </c>
      <c r="I1" s="4" t="n">
        <v>46150</v>
      </c>
      <c r="J1" s="4" t="n">
        <v>46151</v>
      </c>
      <c r="K1" s="4" t="n">
        <v>46153</v>
      </c>
      <c r="L1" s="4" t="n">
        <v>46154</v>
      </c>
      <c r="M1" s="4" t="n">
        <v>46155</v>
      </c>
      <c r="N1" s="4" t="n">
        <v>46156</v>
      </c>
      <c r="O1" s="4" t="n">
        <v>46157</v>
      </c>
      <c r="P1" s="4" t="n">
        <v>46158</v>
      </c>
      <c r="Q1" s="4" t="n">
        <v>46159</v>
      </c>
      <c r="R1" s="4" t="n">
        <v>46160</v>
      </c>
      <c r="S1" s="4" t="n">
        <v>46161</v>
      </c>
      <c r="T1" s="4" t="n">
        <v>46162</v>
      </c>
      <c r="U1" s="4" t="n">
        <v>46163</v>
      </c>
      <c r="V1" s="4" t="n">
        <v>46201</v>
      </c>
    </row>
    <row r="2">
      <c r="A2" s="1" t="inlineStr">
        <is>
          <t>ASin</t>
        </is>
      </c>
      <c r="B2" s="1" t="inlineStr">
        <is>
          <t>B00CO00Y32</t>
        </is>
      </c>
    </row>
    <row r="3">
      <c r="A3" s="5" t="inlineStr">
        <is>
          <t>C40</t>
        </is>
      </c>
      <c r="B3" s="1" t="inlineStr">
        <is>
          <t>Sales #</t>
        </is>
      </c>
      <c r="C3" s="3" t="inlineStr">
        <is>
          <t>Column D</t>
        </is>
      </c>
      <c r="D3" s="6">
        <f>SUMIFS(Data!$C:$C,Data!$A:$A,D$1,Data!$B:$B,$B$2)</f>
        <v/>
      </c>
      <c r="E3" s="6">
        <f>SUMIFS(Data!$C:$C,Data!$A:$A,E$1,Data!$B:$B,$B$2)</f>
        <v/>
      </c>
      <c r="F3" s="6">
        <f>SUMIFS(Data!$C:$C,Data!$A:$A,F$1,Data!$B:$B,$B$2)</f>
        <v/>
      </c>
      <c r="G3" s="6">
        <f>SUMIFS(Data!$C:$C,Data!$A:$A,G$1,Data!$B:$B,$B$2)</f>
        <v/>
      </c>
      <c r="H3" s="6">
        <f>SUMIFS(Data!$C:$C,Data!$A:$A,H$1,Data!$B:$B,$B$2)</f>
        <v/>
      </c>
      <c r="I3" s="6">
        <f>SUMIFS(Data!$C:$C,Data!$A:$A,I$1,Data!$B:$B,$B$2)</f>
        <v/>
      </c>
      <c r="J3" s="6">
        <f>SUMIFS(Data!$C:$C,Data!$A:$A,J$1,Data!$B:$B,$B$2)</f>
        <v/>
      </c>
      <c r="K3" s="6">
        <f>SUMIFS(Data!$C:$C,Data!$A:$A,K$1,Data!$B:$B,$B$2)</f>
        <v/>
      </c>
      <c r="L3" s="6">
        <f>SUMIFS(Data!$C:$C,Data!$A:$A,L$1,Data!$B:$B,$B$2)</f>
        <v/>
      </c>
      <c r="M3" s="6">
        <f>SUMIFS(Data!$C:$C,Data!$A:$A,M$1,Data!$B:$B,$B$2)</f>
        <v/>
      </c>
      <c r="N3" s="6">
        <f>SUMIFS(Data!$C:$C,Data!$A:$A,N$1,Data!$B:$B,$B$2)</f>
        <v/>
      </c>
      <c r="O3" s="6">
        <f>SUMIFS(Data!$C:$C,Data!$A:$A,O$1,Data!$B:$B,$B$2)</f>
        <v/>
      </c>
      <c r="P3" s="6">
        <f>SUMIFS(Data!$C:$C,Data!$A:$A,P$1,Data!$B:$B,$B$2)</f>
        <v/>
      </c>
      <c r="Q3" s="6">
        <f>SUMIFS(Data!$C:$C,Data!$A:$A,Q$1,Data!$B:$B,$B$2)</f>
        <v/>
      </c>
      <c r="R3" s="6">
        <f>SUMIFS(Data!$C:$C,Data!$A:$A,R$1,Data!$B:$B,$B$2)</f>
        <v/>
      </c>
      <c r="S3" s="6">
        <f>SUMIFS(Data!$C:$C,Data!$A:$A,S$1,Data!$B:$B,$B$2)</f>
        <v/>
      </c>
      <c r="T3" s="6">
        <f>SUMIFS(Data!$C:$C,Data!$A:$A,T$1,Data!$B:$B,$B$2)</f>
        <v/>
      </c>
      <c r="U3" s="6">
        <f>SUMIFS(Data!$C:$C,Data!$A:$A,U$1,Data!$B:$B,$B$2)</f>
        <v/>
      </c>
      <c r="V3" s="6">
        <f>SUMIFS(Data!$C:$C,Data!$A:$A,V$1,Data!$B:$B,$B$2)</f>
        <v/>
      </c>
    </row>
    <row r="4">
      <c r="B4" s="1" t="inlineStr">
        <is>
          <t>Sales £</t>
        </is>
      </c>
      <c r="C4" s="3" t="inlineStr">
        <is>
          <t>Column F</t>
        </is>
      </c>
      <c r="D4" s="7">
        <f>SUMIFS(Data!$D:$D,Data!$A:$A,D$1,Data!$B:$B,$B$2)</f>
        <v/>
      </c>
      <c r="E4" s="7">
        <f>SUMIFS(Data!$D:$D,Data!$A:$A,E$1,Data!$B:$B,$B$2)</f>
        <v/>
      </c>
      <c r="F4" s="7">
        <f>SUMIFS(Data!$D:$D,Data!$A:$A,F$1,Data!$B:$B,$B$2)</f>
        <v/>
      </c>
      <c r="G4" s="7">
        <f>SUMIFS(Data!$D:$D,Data!$A:$A,G$1,Data!$B:$B,$B$2)</f>
        <v/>
      </c>
      <c r="H4" s="7">
        <f>SUMIFS(Data!$D:$D,Data!$A:$A,H$1,Data!$B:$B,$B$2)</f>
        <v/>
      </c>
      <c r="I4" s="7">
        <f>SUMIFS(Data!$D:$D,Data!$A:$A,I$1,Data!$B:$B,$B$2)</f>
        <v/>
      </c>
      <c r="J4" s="7">
        <f>SUMIFS(Data!$D:$D,Data!$A:$A,J$1,Data!$B:$B,$B$2)</f>
        <v/>
      </c>
      <c r="K4" s="7">
        <f>SUMIFS(Data!$D:$D,Data!$A:$A,K$1,Data!$B:$B,$B$2)</f>
        <v/>
      </c>
      <c r="L4" s="7">
        <f>SUMIFS(Data!$D:$D,Data!$A:$A,L$1,Data!$B:$B,$B$2)</f>
        <v/>
      </c>
      <c r="M4" s="7">
        <f>SUMIFS(Data!$D:$D,Data!$A:$A,M$1,Data!$B:$B,$B$2)</f>
        <v/>
      </c>
      <c r="N4" s="7">
        <f>SUMIFS(Data!$D:$D,Data!$A:$A,N$1,Data!$B:$B,$B$2)</f>
        <v/>
      </c>
      <c r="O4" s="7">
        <f>SUMIFS(Data!$D:$D,Data!$A:$A,O$1,Data!$B:$B,$B$2)</f>
        <v/>
      </c>
      <c r="P4" s="7">
        <f>SUMIFS(Data!$D:$D,Data!$A:$A,P$1,Data!$B:$B,$B$2)</f>
        <v/>
      </c>
      <c r="Q4" s="7">
        <f>SUMIFS(Data!$D:$D,Data!$A:$A,Q$1,Data!$B:$B,$B$2)</f>
        <v/>
      </c>
      <c r="R4" s="7">
        <f>SUMIFS(Data!$D:$D,Data!$A:$A,R$1,Data!$B:$B,$B$2)</f>
        <v/>
      </c>
      <c r="S4" s="7">
        <f>SUMIFS(Data!$D:$D,Data!$A:$A,S$1,Data!$B:$B,$B$2)</f>
        <v/>
      </c>
      <c r="T4" s="7">
        <f>SUMIFS(Data!$D:$D,Data!$A:$A,T$1,Data!$B:$B,$B$2)</f>
        <v/>
      </c>
      <c r="U4" s="7">
        <f>SUMIFS(Data!$D:$D,Data!$A:$A,U$1,Data!$B:$B,$B$2)</f>
        <v/>
      </c>
      <c r="V4" s="7">
        <f>SUMIFS(Data!$D:$D,Data!$A:$A,V$1,Data!$B:$B,$B$2)</f>
        <v/>
      </c>
    </row>
    <row r="5">
      <c r="B5" s="8" t="inlineStr">
        <is>
          <t>Avg. RSP (gross)</t>
        </is>
      </c>
      <c r="C5" s="3" t="n"/>
      <c r="D5" s="7">
        <f>IF(D3=0,0,D4/D3)</f>
        <v/>
      </c>
      <c r="E5" s="7">
        <f>IF(E3=0,0,E4/E3)</f>
        <v/>
      </c>
      <c r="F5" s="7">
        <f>IF(F3=0,0,F4/F3)</f>
        <v/>
      </c>
      <c r="G5" s="7">
        <f>IF(G3=0,0,G4/G3)</f>
        <v/>
      </c>
      <c r="H5" s="7">
        <f>IF(H3=0,0,H4/H3)</f>
        <v/>
      </c>
      <c r="I5" s="7">
        <f>IF(I3=0,0,I4/I3)</f>
        <v/>
      </c>
      <c r="J5" s="7">
        <f>IF(J3=0,0,J4/J3)</f>
        <v/>
      </c>
      <c r="K5" s="7">
        <f>IF(K3=0,0,K4/K3)</f>
        <v/>
      </c>
      <c r="L5" s="7">
        <f>IF(L3=0,0,L4/L3)</f>
        <v/>
      </c>
      <c r="M5" s="7">
        <f>IF(M3=0,0,M4/M3)</f>
        <v/>
      </c>
      <c r="N5" s="7">
        <f>IF(N3=0,0,N4/N3)</f>
        <v/>
      </c>
      <c r="O5" s="7">
        <f>IF(O3=0,0,O4/O3)</f>
        <v/>
      </c>
      <c r="P5" s="7">
        <f>IF(P3=0,0,P4/P3)</f>
        <v/>
      </c>
      <c r="Q5" s="7">
        <f>IF(Q3=0,0,Q4/Q3)</f>
        <v/>
      </c>
      <c r="R5" s="7">
        <f>IF(R3=0,0,R4/R3)</f>
        <v/>
      </c>
      <c r="S5" s="7">
        <f>IF(S3=0,0,S4/S3)</f>
        <v/>
      </c>
      <c r="T5" s="7">
        <f>IF(T3=0,0,T4/T3)</f>
        <v/>
      </c>
      <c r="U5" s="7">
        <f>IF(U3=0,0,U4/U3)</f>
        <v/>
      </c>
      <c r="V5" s="7">
        <f>IF(V3=0,0,V4/V3)</f>
        <v/>
      </c>
    </row>
    <row r="6">
      <c r="B6" s="8" t="inlineStr">
        <is>
          <t>Avg. RSP (net)</t>
        </is>
      </c>
      <c r="C6" s="3" t="n"/>
      <c r="D6" s="7">
        <f>D5/(1+$C$17)</f>
        <v/>
      </c>
      <c r="E6" s="7">
        <f>E5/(1+$C$17)</f>
        <v/>
      </c>
      <c r="F6" s="7">
        <f>F5/(1+$C$17)</f>
        <v/>
      </c>
      <c r="G6" s="7">
        <f>G5/(1+$C$17)</f>
        <v/>
      </c>
      <c r="H6" s="7">
        <f>H5/(1+$C$17)</f>
        <v/>
      </c>
      <c r="I6" s="7">
        <f>I5/(1+$C$17)</f>
        <v/>
      </c>
      <c r="J6" s="7">
        <f>J5/(1+$C$17)</f>
        <v/>
      </c>
      <c r="K6" s="7">
        <f>K5/(1+$C$17)</f>
        <v/>
      </c>
      <c r="L6" s="7">
        <f>L5/(1+$C$17)</f>
        <v/>
      </c>
      <c r="M6" s="7">
        <f>M5/(1+$C$17)</f>
        <v/>
      </c>
      <c r="N6" s="7">
        <f>N5/(1+$C$17)</f>
        <v/>
      </c>
      <c r="O6" s="7">
        <f>O5/(1+$C$17)</f>
        <v/>
      </c>
      <c r="P6" s="7">
        <f>P5/(1+$C$17)</f>
        <v/>
      </c>
      <c r="Q6" s="7">
        <f>Q5/(1+$C$17)</f>
        <v/>
      </c>
      <c r="R6" s="7">
        <f>R5/(1+$C$17)</f>
        <v/>
      </c>
      <c r="S6" s="7">
        <f>S5/(1+$C$17)</f>
        <v/>
      </c>
      <c r="T6" s="7">
        <f>T5/(1+$C$17)</f>
        <v/>
      </c>
      <c r="U6" s="7">
        <f>U5/(1+$C$17)</f>
        <v/>
      </c>
      <c r="V6" s="7">
        <f>V5/(1+$C$17)</f>
        <v/>
      </c>
    </row>
    <row r="7">
      <c r="B7" s="8" t="inlineStr">
        <is>
          <t>Commission + AdFee</t>
        </is>
      </c>
      <c r="C7" s="3" t="n"/>
      <c r="D7" s="7">
        <f>$C$18*D5</f>
        <v/>
      </c>
      <c r="E7" s="7">
        <f>$C$18*E5</f>
        <v/>
      </c>
      <c r="F7" s="7">
        <f>$C$18*F5</f>
        <v/>
      </c>
      <c r="G7" s="7">
        <f>$C$18*G5</f>
        <v/>
      </c>
      <c r="H7" s="7">
        <f>$C$18*H5</f>
        <v/>
      </c>
      <c r="I7" s="7">
        <f>$C$18*I5</f>
        <v/>
      </c>
      <c r="J7" s="7">
        <f>$C$18*J5</f>
        <v/>
      </c>
      <c r="K7" s="7">
        <f>$C$18*K5</f>
        <v/>
      </c>
      <c r="L7" s="7">
        <f>$C$18*L5</f>
        <v/>
      </c>
      <c r="M7" s="7">
        <f>$C$18*M5</f>
        <v/>
      </c>
      <c r="N7" s="7">
        <f>$C$18*N5</f>
        <v/>
      </c>
      <c r="O7" s="7">
        <f>$C$18*O5</f>
        <v/>
      </c>
      <c r="P7" s="7">
        <f>$C$18*P5</f>
        <v/>
      </c>
      <c r="Q7" s="7">
        <f>$C$18*Q5</f>
        <v/>
      </c>
      <c r="R7" s="7">
        <f>$C$18*R5</f>
        <v/>
      </c>
      <c r="S7" s="7">
        <f>$C$18*S5</f>
        <v/>
      </c>
      <c r="T7" s="7">
        <f>$C$18*T5</f>
        <v/>
      </c>
      <c r="U7" s="7">
        <f>$C$18*U5</f>
        <v/>
      </c>
      <c r="V7" s="7">
        <f>$C$18*V5</f>
        <v/>
      </c>
    </row>
    <row r="8">
      <c r="B8" s="8" t="inlineStr">
        <is>
          <t>FBA</t>
        </is>
      </c>
      <c r="C8" s="3" t="n"/>
      <c r="D8" s="7">
        <f>$C$19</f>
        <v/>
      </c>
      <c r="E8" s="7">
        <f>$C$19</f>
        <v/>
      </c>
      <c r="F8" s="7">
        <f>$C$19</f>
        <v/>
      </c>
      <c r="G8" s="7">
        <f>$C$19</f>
        <v/>
      </c>
      <c r="H8" s="7">
        <f>$C$19</f>
        <v/>
      </c>
      <c r="I8" s="7">
        <f>$C$19</f>
        <v/>
      </c>
      <c r="J8" s="7">
        <f>$C$19</f>
        <v/>
      </c>
      <c r="K8" s="7">
        <f>$C$19</f>
        <v/>
      </c>
      <c r="L8" s="7">
        <f>$C$19</f>
        <v/>
      </c>
      <c r="M8" s="7">
        <f>$C$19</f>
        <v/>
      </c>
      <c r="N8" s="7">
        <f>$C$19</f>
        <v/>
      </c>
      <c r="O8" s="7">
        <f>$C$19</f>
        <v/>
      </c>
      <c r="P8" s="7">
        <f>$C$19</f>
        <v/>
      </c>
      <c r="Q8" s="7">
        <f>$C$19</f>
        <v/>
      </c>
      <c r="R8" s="7">
        <f>$C$19</f>
        <v/>
      </c>
      <c r="S8" s="7">
        <f>$C$19</f>
        <v/>
      </c>
      <c r="T8" s="7">
        <f>$C$19</f>
        <v/>
      </c>
      <c r="U8" s="7">
        <f>$C$19</f>
        <v/>
      </c>
      <c r="V8" s="7">
        <f>$C$19</f>
        <v/>
      </c>
    </row>
    <row r="9">
      <c r="B9" s="8" t="inlineStr">
        <is>
          <t>COGS</t>
        </is>
      </c>
      <c r="C9" s="3" t="n"/>
      <c r="D9" s="7">
        <f>$C$20</f>
        <v/>
      </c>
      <c r="E9" s="7">
        <f>$C$20</f>
        <v/>
      </c>
      <c r="F9" s="7">
        <f>$C$20</f>
        <v/>
      </c>
      <c r="G9" s="7">
        <f>$C$20</f>
        <v/>
      </c>
      <c r="H9" s="7">
        <f>$C$20</f>
        <v/>
      </c>
      <c r="I9" s="7">
        <f>$C$20</f>
        <v/>
      </c>
      <c r="J9" s="7">
        <f>$C$20</f>
        <v/>
      </c>
      <c r="K9" s="7">
        <f>$C$20</f>
        <v/>
      </c>
      <c r="L9" s="7">
        <f>$C$20</f>
        <v/>
      </c>
      <c r="M9" s="7">
        <f>$C$20</f>
        <v/>
      </c>
      <c r="N9" s="7">
        <f>$C$20</f>
        <v/>
      </c>
      <c r="O9" s="7">
        <f>$C$20</f>
        <v/>
      </c>
      <c r="P9" s="7">
        <f>$C$20</f>
        <v/>
      </c>
      <c r="Q9" s="7">
        <f>$C$20</f>
        <v/>
      </c>
      <c r="R9" s="7">
        <f>$C$20</f>
        <v/>
      </c>
      <c r="S9" s="7">
        <f>$C$20</f>
        <v/>
      </c>
      <c r="T9" s="7">
        <f>$C$20</f>
        <v/>
      </c>
      <c r="U9" s="7">
        <f>$C$20</f>
        <v/>
      </c>
      <c r="V9" s="7">
        <f>$C$20</f>
        <v/>
      </c>
    </row>
    <row r="10">
      <c r="B10" s="8" t="inlineStr">
        <is>
          <t>Margin (%)</t>
        </is>
      </c>
      <c r="C10" s="3" t="n"/>
      <c r="D10" s="9">
        <f>IF(D6=0,0,D11/D6)</f>
        <v/>
      </c>
      <c r="E10" s="9">
        <f>IF(E6=0,0,E11/E6)</f>
        <v/>
      </c>
      <c r="F10" s="9">
        <f>IF(F6=0,0,F11/F6)</f>
        <v/>
      </c>
      <c r="G10" s="9">
        <f>IF(G6=0,0,G11/G6)</f>
        <v/>
      </c>
      <c r="H10" s="9">
        <f>IF(H6=0,0,H11/H6)</f>
        <v/>
      </c>
      <c r="I10" s="9">
        <f>IF(I6=0,0,I11/I6)</f>
        <v/>
      </c>
      <c r="J10" s="9">
        <f>IF(J6=0,0,J11/J6)</f>
        <v/>
      </c>
      <c r="K10" s="9">
        <f>IF(K6=0,0,K11/K6)</f>
        <v/>
      </c>
      <c r="L10" s="9">
        <f>IF(L6=0,0,L11/L6)</f>
        <v/>
      </c>
      <c r="M10" s="9">
        <f>IF(M6=0,0,M11/M6)</f>
        <v/>
      </c>
      <c r="N10" s="9">
        <f>IF(N6=0,0,N11/N6)</f>
        <v/>
      </c>
      <c r="O10" s="9">
        <f>IF(O6=0,0,O11/O6)</f>
        <v/>
      </c>
      <c r="P10" s="9">
        <f>IF(P6=0,0,P11/P6)</f>
        <v/>
      </c>
      <c r="Q10" s="9">
        <f>IF(Q6=0,0,Q11/Q6)</f>
        <v/>
      </c>
      <c r="R10" s="9">
        <f>IF(R6=0,0,R11/R6)</f>
        <v/>
      </c>
      <c r="S10" s="9">
        <f>IF(S6=0,0,S11/S6)</f>
        <v/>
      </c>
      <c r="T10" s="9">
        <f>IF(T6=0,0,T11/T6)</f>
        <v/>
      </c>
      <c r="U10" s="9">
        <f>IF(U6=0,0,U11/U6)</f>
        <v/>
      </c>
      <c r="V10" s="9">
        <f>IF(V6=0,0,V11/V6)</f>
        <v/>
      </c>
    </row>
    <row r="11">
      <c r="B11" s="8" t="inlineStr">
        <is>
          <t>Margin (abs)</t>
        </is>
      </c>
      <c r="C11" s="3" t="n"/>
      <c r="D11" s="7">
        <f>D6-D7-D8-D9</f>
        <v/>
      </c>
      <c r="E11" s="7">
        <f>E6-E7-E8-E9</f>
        <v/>
      </c>
      <c r="F11" s="7">
        <f>F6-F7-F8-F9</f>
        <v/>
      </c>
      <c r="G11" s="7">
        <f>G6-G7-G8-G9</f>
        <v/>
      </c>
      <c r="H11" s="7">
        <f>H6-H7-H8-H9</f>
        <v/>
      </c>
      <c r="I11" s="7">
        <f>I6-I7-I8-I9</f>
        <v/>
      </c>
      <c r="J11" s="7">
        <f>J6-J7-J8-J9</f>
        <v/>
      </c>
      <c r="K11" s="7">
        <f>K6-K7-K8-K9</f>
        <v/>
      </c>
      <c r="L11" s="7">
        <f>L6-L7-L8-L9</f>
        <v/>
      </c>
      <c r="M11" s="7">
        <f>M6-M7-M8-M9</f>
        <v/>
      </c>
      <c r="N11" s="7">
        <f>N6-N7-N8-N9</f>
        <v/>
      </c>
      <c r="O11" s="7">
        <f>O6-O7-O8-O9</f>
        <v/>
      </c>
      <c r="P11" s="7">
        <f>P6-P7-P8-P9</f>
        <v/>
      </c>
      <c r="Q11" s="7">
        <f>Q6-Q7-Q8-Q9</f>
        <v/>
      </c>
      <c r="R11" s="7">
        <f>R6-R7-R8-R9</f>
        <v/>
      </c>
      <c r="S11" s="7">
        <f>S6-S7-S8-S9</f>
        <v/>
      </c>
      <c r="T11" s="7">
        <f>T6-T7-T8-T9</f>
        <v/>
      </c>
      <c r="U11" s="7">
        <f>U6-U7-U8-U9</f>
        <v/>
      </c>
      <c r="V11" s="7">
        <f>V6-V7-V8-V9</f>
        <v/>
      </c>
    </row>
    <row r="12">
      <c r="B12" s="8" t="inlineStr">
        <is>
          <t>Margin Tot. (abs)</t>
        </is>
      </c>
      <c r="C12" s="3" t="n"/>
      <c r="D12" s="7">
        <f>D11*D3</f>
        <v/>
      </c>
      <c r="E12" s="7">
        <f>E11*E3</f>
        <v/>
      </c>
      <c r="F12" s="7">
        <f>F11*F3</f>
        <v/>
      </c>
      <c r="G12" s="7">
        <f>G11*G3</f>
        <v/>
      </c>
      <c r="H12" s="7">
        <f>H11*H3</f>
        <v/>
      </c>
      <c r="I12" s="7">
        <f>I11*I3</f>
        <v/>
      </c>
      <c r="J12" s="7">
        <f>J11*J3</f>
        <v/>
      </c>
      <c r="K12" s="7">
        <f>K11*K3</f>
        <v/>
      </c>
      <c r="L12" s="7">
        <f>L11*L3</f>
        <v/>
      </c>
      <c r="M12" s="7">
        <f>M11*M3</f>
        <v/>
      </c>
      <c r="N12" s="7">
        <f>N11*N3</f>
        <v/>
      </c>
      <c r="O12" s="7">
        <f>O11*O3</f>
        <v/>
      </c>
      <c r="P12" s="7">
        <f>P11*P3</f>
        <v/>
      </c>
      <c r="Q12" s="7">
        <f>Q11*Q3</f>
        <v/>
      </c>
      <c r="R12" s="7">
        <f>R11*R3</f>
        <v/>
      </c>
      <c r="S12" s="7">
        <f>S11*S3</f>
        <v/>
      </c>
      <c r="T12" s="7">
        <f>T11*T3</f>
        <v/>
      </c>
      <c r="U12" s="7">
        <f>U11*U3</f>
        <v/>
      </c>
      <c r="V12" s="7">
        <f>V11*V3</f>
        <v/>
      </c>
    </row>
    <row r="13">
      <c r="B13" s="8" t="inlineStr">
        <is>
          <t>Margin Net. (abs)</t>
        </is>
      </c>
      <c r="C13" s="3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</row>
    <row r="14">
      <c r="B14" s="8" t="inlineStr">
        <is>
          <t>CVR</t>
        </is>
      </c>
      <c r="C14" s="3" t="inlineStr">
        <is>
          <t>Column AF</t>
        </is>
      </c>
      <c r="D14" s="10">
        <f>SUMIFS(Data!$E:$E,Data!$A:$A,D$1,Data!$B:$B,$B$2)</f>
        <v/>
      </c>
      <c r="E14" s="10">
        <f>SUMIFS(Data!$E:$E,Data!$A:$A,E$1,Data!$B:$B,$B$2)</f>
        <v/>
      </c>
      <c r="F14" s="10">
        <f>SUMIFS(Data!$E:$E,Data!$A:$A,F$1,Data!$B:$B,$B$2)</f>
        <v/>
      </c>
      <c r="G14" s="10">
        <f>SUMIFS(Data!$E:$E,Data!$A:$A,G$1,Data!$B:$B,$B$2)</f>
        <v/>
      </c>
      <c r="H14" s="10">
        <f>SUMIFS(Data!$E:$E,Data!$A:$A,H$1,Data!$B:$B,$B$2)</f>
        <v/>
      </c>
      <c r="I14" s="10">
        <f>SUMIFS(Data!$E:$E,Data!$A:$A,I$1,Data!$B:$B,$B$2)</f>
        <v/>
      </c>
      <c r="J14" s="10">
        <f>SUMIFS(Data!$E:$E,Data!$A:$A,J$1,Data!$B:$B,$B$2)</f>
        <v/>
      </c>
      <c r="K14" s="10">
        <f>SUMIFS(Data!$E:$E,Data!$A:$A,K$1,Data!$B:$B,$B$2)</f>
        <v/>
      </c>
      <c r="L14" s="10">
        <f>SUMIFS(Data!$E:$E,Data!$A:$A,L$1,Data!$B:$B,$B$2)</f>
        <v/>
      </c>
      <c r="M14" s="10">
        <f>SUMIFS(Data!$E:$E,Data!$A:$A,M$1,Data!$B:$B,$B$2)</f>
        <v/>
      </c>
      <c r="N14" s="10">
        <f>SUMIFS(Data!$E:$E,Data!$A:$A,N$1,Data!$B:$B,$B$2)</f>
        <v/>
      </c>
      <c r="O14" s="10">
        <f>SUMIFS(Data!$E:$E,Data!$A:$A,O$1,Data!$B:$B,$B$2)</f>
        <v/>
      </c>
      <c r="P14" s="10">
        <f>SUMIFS(Data!$E:$E,Data!$A:$A,P$1,Data!$B:$B,$B$2)</f>
        <v/>
      </c>
      <c r="Q14" s="10">
        <f>SUMIFS(Data!$E:$E,Data!$A:$A,Q$1,Data!$B:$B,$B$2)</f>
        <v/>
      </c>
      <c r="R14" s="10">
        <f>SUMIFS(Data!$E:$E,Data!$A:$A,R$1,Data!$B:$B,$B$2)</f>
        <v/>
      </c>
      <c r="S14" s="10">
        <f>SUMIFS(Data!$E:$E,Data!$A:$A,S$1,Data!$B:$B,$B$2)</f>
        <v/>
      </c>
      <c r="T14" s="10">
        <f>SUMIFS(Data!$E:$E,Data!$A:$A,T$1,Data!$B:$B,$B$2)</f>
        <v/>
      </c>
      <c r="U14" s="10">
        <f>SUMIFS(Data!$E:$E,Data!$A:$A,U$1,Data!$B:$B,$B$2)</f>
        <v/>
      </c>
      <c r="V14" s="10">
        <f>SUMIFS(Data!$E:$E,Data!$A:$A,V$1,Data!$B:$B,$B$2)</f>
        <v/>
      </c>
    </row>
    <row r="16">
      <c r="B16" s="1" t="inlineStr">
        <is>
          <t>Aannames</t>
        </is>
      </c>
    </row>
    <row r="17">
      <c r="B17" t="inlineStr">
        <is>
          <t>BTW</t>
        </is>
      </c>
      <c r="C17" s="11" t="n">
        <v>0.2</v>
      </c>
    </row>
    <row r="18">
      <c r="B18" t="inlineStr">
        <is>
          <t>Commission + AdFee %</t>
        </is>
      </c>
      <c r="C18" s="11" t="n">
        <v>0.153</v>
      </c>
    </row>
    <row r="19">
      <c r="B19" t="inlineStr">
        <is>
          <t>FBA (£/stuk)</t>
        </is>
      </c>
      <c r="C19" s="12" t="n">
        <v>2.42</v>
      </c>
    </row>
    <row r="20">
      <c r="B20" t="inlineStr">
        <is>
          <t>COGS (£/stuk)</t>
        </is>
      </c>
      <c r="C20" s="12" t="n">
        <v>3.96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2026-06-29T08:46:00Z</dcterms:created>
  <dcterms:modified xsi:type="dcterms:W3CDTF">2026-06-29T08:46:00Z</dcterms:modified>
</cp:coreProperties>
</file>